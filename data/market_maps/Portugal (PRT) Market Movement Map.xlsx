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market_maps/"/>
    </mc:Choice>
  </mc:AlternateContent>
  <xr:revisionPtr revIDLastSave="0" documentId="8_{69E48B80-DAC0-4F45-945C-ABFFBE26D0CB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Club Overview" sheetId="1" r:id="rId1"/>
    <sheet name="Club Tracker" sheetId="2" r:id="rId2"/>
    <sheet name="POR-1" sheetId="3" r:id="rId3"/>
    <sheet name="Club Requests" sheetId="4" r:id="rId4"/>
    <sheet name="Live Demand Signal" sheetId="5" r:id="rId5"/>
  </sheets>
  <definedNames>
    <definedName name="_xlnm._FilterDatabase" localSheetId="3" hidden="1">'Club Requests'!$A$1:$L$98</definedName>
    <definedName name="_xlnm._FilterDatabase" localSheetId="1" hidden="1">'Club Tracker'!$A$1:$N$19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" l="1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<sst xmlns="http://schemas.openxmlformats.org/spreadsheetml/2006/main" count="1877" uniqueCount="619">
  <si>
    <t>Club Name</t>
  </si>
  <si>
    <t>League</t>
  </si>
  <si>
    <t>Formation</t>
  </si>
  <si>
    <t>Manager</t>
  </si>
  <si>
    <t>Agent Preferences</t>
  </si>
  <si>
    <t>Sci Skill Rotation Player Level</t>
  </si>
  <si>
    <t>Sci Skill 1st Team Level</t>
  </si>
  <si>
    <t>Sci Skill Key Player Level</t>
  </si>
  <si>
    <t>Highest Transfer Fee 25/26
€</t>
  </si>
  <si>
    <t>Highest Sale 25/26
€</t>
  </si>
  <si>
    <t>Max Salary PW 25/26
€</t>
  </si>
  <si>
    <t>Avs Futebol</t>
  </si>
  <si>
    <t>Portugal 1</t>
  </si>
  <si>
    <t>Joao Henriques</t>
  </si>
  <si>
    <t>N/A</t>
  </si>
  <si>
    <t>Casa Pia AC</t>
  </si>
  <si>
    <t>Alvaro Pacheco</t>
  </si>
  <si>
    <t>CD Nacional</t>
  </si>
  <si>
    <t>Tiago Margarido</t>
  </si>
  <si>
    <t>Leaguepro LDA</t>
  </si>
  <si>
    <t>CD Santa Clara</t>
  </si>
  <si>
    <t>Petit</t>
  </si>
  <si>
    <t>DK</t>
  </si>
  <si>
    <t>CD Tondela</t>
  </si>
  <si>
    <t>Goncalo Feio</t>
  </si>
  <si>
    <t>Gestifute</t>
  </si>
  <si>
    <t>CF Estrela Amadora</t>
  </si>
  <si>
    <t>Joao Nuno</t>
  </si>
  <si>
    <t>FC Alverca</t>
  </si>
  <si>
    <t>Custodio</t>
  </si>
  <si>
    <t>Roc Nation</t>
  </si>
  <si>
    <t>FC Arouca</t>
  </si>
  <si>
    <t>Vasco Seabra</t>
  </si>
  <si>
    <t>LEADERBROCK</t>
  </si>
  <si>
    <t>FC Famalicao</t>
  </si>
  <si>
    <t>Hugo Oliveira</t>
  </si>
  <si>
    <t>FC Porto</t>
  </si>
  <si>
    <t>Francesco Farioli</t>
  </si>
  <si>
    <t>GD Estoril Praia</t>
  </si>
  <si>
    <t>Ian Cathro</t>
  </si>
  <si>
    <t>MadeinFootball</t>
  </si>
  <si>
    <t>Gil Vicente FC</t>
  </si>
  <si>
    <t>Cesar Peixoto</t>
  </si>
  <si>
    <t>Sferico Sports Management, Gestifute</t>
  </si>
  <si>
    <t>Moreirense FC</t>
  </si>
  <si>
    <t>Vasco Botelho da Costa</t>
  </si>
  <si>
    <t>AS1</t>
  </si>
  <si>
    <t>Rio Ave FC</t>
  </si>
  <si>
    <t>Sotiris Sylaidopoulos</t>
  </si>
  <si>
    <t>SC Braga</t>
  </si>
  <si>
    <t>Carlos Vicens</t>
  </si>
  <si>
    <t>SL Benfica</t>
  </si>
  <si>
    <t>Jose Mourinho</t>
  </si>
  <si>
    <t>Sporting CP</t>
  </si>
  <si>
    <t>Rui Borges</t>
  </si>
  <si>
    <t>Gestifute, AS1</t>
  </si>
  <si>
    <t>Vitoria Guimaraes SC</t>
  </si>
  <si>
    <t>Gil Lameiras</t>
  </si>
  <si>
    <t>MNM Sports Management</t>
  </si>
  <si>
    <t>Club</t>
  </si>
  <si>
    <t>GK</t>
  </si>
  <si>
    <t>RB</t>
  </si>
  <si>
    <t>RCB</t>
  </si>
  <si>
    <t>LCB</t>
  </si>
  <si>
    <t>LB</t>
  </si>
  <si>
    <t>DM</t>
  </si>
  <si>
    <t>CM</t>
  </si>
  <si>
    <t>AM</t>
  </si>
  <si>
    <t>RW</t>
  </si>
  <si>
    <t>LW</t>
  </si>
  <si>
    <t>CF</t>
  </si>
  <si>
    <t>Total Positional Gaps</t>
  </si>
  <si>
    <t>Open</t>
  </si>
  <si>
    <t>Covered</t>
  </si>
  <si>
    <t>Squad Depth Charts</t>
  </si>
  <si>
    <t>CLUB</t>
  </si>
  <si>
    <t>AVS FUTEBOL</t>
  </si>
  <si>
    <t>ADRIEL</t>
  </si>
  <si>
    <t>PIVO</t>
  </si>
  <si>
    <t>DEVENISH</t>
  </si>
  <si>
    <t>VITOR</t>
  </si>
  <si>
    <t>KIKI</t>
  </si>
  <si>
    <t>RONI +2</t>
  </si>
  <si>
    <t>LIMA +2</t>
  </si>
  <si>
    <t>AKINSOLA +1</t>
  </si>
  <si>
    <t>PEREA</t>
  </si>
  <si>
    <t>TOMANE</t>
  </si>
  <si>
    <t>SIMAO</t>
  </si>
  <si>
    <t>MOLINA +1</t>
  </si>
  <si>
    <t>SEMEDO</t>
  </si>
  <si>
    <t>RIVAS +1</t>
  </si>
  <si>
    <t>ALGOBIA +1</t>
  </si>
  <si>
    <t>MENDONCA +2</t>
  </si>
  <si>
    <t>GREEN</t>
  </si>
  <si>
    <t>DUARTE</t>
  </si>
  <si>
    <t>TRIGUEIRA</t>
  </si>
  <si>
    <t>PONCK</t>
  </si>
  <si>
    <t>HERNANDEZ +2</t>
  </si>
  <si>
    <t>NEIVA +1</t>
  </si>
  <si>
    <t>BAROAN</t>
  </si>
  <si>
    <t>SANTOS</t>
  </si>
  <si>
    <t>NENE</t>
  </si>
  <si>
    <t xml:space="preserve">CLUB </t>
  </si>
  <si>
    <t>CASA PIA AC</t>
  </si>
  <si>
    <t>SEQUEIRA +1</t>
  </si>
  <si>
    <t>LARRAZABAL</t>
  </si>
  <si>
    <t>FONTE</t>
  </si>
  <si>
    <t>SOUSA +2</t>
  </si>
  <si>
    <t>CONTE +2</t>
  </si>
  <si>
    <t>PEREZ +1</t>
  </si>
  <si>
    <t>BRITO</t>
  </si>
  <si>
    <t>LIVOLANT +1</t>
  </si>
  <si>
    <t>MORAIS</t>
  </si>
  <si>
    <t>CASSIANO</t>
  </si>
  <si>
    <t>BATISTA</t>
  </si>
  <si>
    <t>GERALDES +1</t>
  </si>
  <si>
    <t>GOULART +1</t>
  </si>
  <si>
    <t>ROSAS</t>
  </si>
  <si>
    <t>MOHAMED +1</t>
  </si>
  <si>
    <t>OFORI +1</t>
  </si>
  <si>
    <t>OSUNDINA +2</t>
  </si>
  <si>
    <t>NSONA +1</t>
  </si>
  <si>
    <t>LIVRAMENTO</t>
  </si>
  <si>
    <t>MOURA</t>
  </si>
  <si>
    <t>PRIETO +3</t>
  </si>
  <si>
    <t>ROCHA +2</t>
  </si>
  <si>
    <t>SEVERINA</t>
  </si>
  <si>
    <t>MARQUES</t>
  </si>
  <si>
    <t>MENDES</t>
  </si>
  <si>
    <t>MANDIC +3</t>
  </si>
  <si>
    <t>KALY +1</t>
  </si>
  <si>
    <t>CD NACIONAL</t>
  </si>
  <si>
    <t>PEREIRA</t>
  </si>
  <si>
    <t>AURELIO</t>
  </si>
  <si>
    <t>SANTOS +1</t>
  </si>
  <si>
    <t>ZE VITOR +1</t>
  </si>
  <si>
    <t>GOMES +1</t>
  </si>
  <si>
    <t>DIAS +4</t>
  </si>
  <si>
    <t>LIZIERO +2</t>
  </si>
  <si>
    <t>BAEZA</t>
  </si>
  <si>
    <t>VERON</t>
  </si>
  <si>
    <t>BOIA</t>
  </si>
  <si>
    <t>RAMIREZ +1</t>
  </si>
  <si>
    <t>FRANCA</t>
  </si>
  <si>
    <t>NUNEZ</t>
  </si>
  <si>
    <t>ULISESS +2</t>
  </si>
  <si>
    <t>FERNANDES +1</t>
  </si>
  <si>
    <t>VALLIER +2</t>
  </si>
  <si>
    <t>LABIDI +1</t>
  </si>
  <si>
    <t>SOARES +1</t>
  </si>
  <si>
    <t>RUAN +4</t>
  </si>
  <si>
    <t>WITI +2</t>
  </si>
  <si>
    <t>JOAO +1</t>
  </si>
  <si>
    <t>KEVYN +4</t>
  </si>
  <si>
    <t>GONCALVES +3</t>
  </si>
  <si>
    <t>SILVA +3</t>
  </si>
  <si>
    <t>DANIEL JR +4</t>
  </si>
  <si>
    <t>WATTS +2</t>
  </si>
  <si>
    <t>AUGUSTO</t>
  </si>
  <si>
    <t>SOUSA</t>
  </si>
  <si>
    <t>DEIVISION +4</t>
  </si>
  <si>
    <t>JOTA</t>
  </si>
  <si>
    <t>CD SANTA CLARA</t>
  </si>
  <si>
    <t>BATISTA +2</t>
  </si>
  <si>
    <t>LIMA +1</t>
  </si>
  <si>
    <t>MT +2</t>
  </si>
  <si>
    <t>ROMAO</t>
  </si>
  <si>
    <t>FERREIRA +2</t>
  </si>
  <si>
    <t>SERGINHO +1</t>
  </si>
  <si>
    <t>ANDREY +1</t>
  </si>
  <si>
    <t>LOPES +2</t>
  </si>
  <si>
    <t>SILVA +1</t>
  </si>
  <si>
    <t>FERNANDO +3</t>
  </si>
  <si>
    <t>NENECA</t>
  </si>
  <si>
    <t>CALILA +1</t>
  </si>
  <si>
    <t>VENANCIO</t>
  </si>
  <si>
    <t>VICTOR +3</t>
  </si>
  <si>
    <t>DARLAN</t>
  </si>
  <si>
    <t>KLISMAHN +1</t>
  </si>
  <si>
    <t>BRENNER +2</t>
  </si>
  <si>
    <t>TORRAO +2</t>
  </si>
  <si>
    <t>PACIENCIA</t>
  </si>
  <si>
    <t>CRISTIAN</t>
  </si>
  <si>
    <t>VICTOR</t>
  </si>
  <si>
    <t>DJE +4</t>
  </si>
  <si>
    <t>VITINHO</t>
  </si>
  <si>
    <t>MANOEL</t>
  </si>
  <si>
    <t>PACHECO +2</t>
  </si>
  <si>
    <t>COSTA +2</t>
  </si>
  <si>
    <t>CD TONDELA</t>
  </si>
  <si>
    <t>BERNARDO +3</t>
  </si>
  <si>
    <t>BEBETO</t>
  </si>
  <si>
    <t>MARQUES +3</t>
  </si>
  <si>
    <t>MEDINA +4</t>
  </si>
  <si>
    <t>MAVIRAM</t>
  </si>
  <si>
    <t>RODRIGUEZ</t>
  </si>
  <si>
    <t>SITHOLE +1</t>
  </si>
  <si>
    <t>FELIX +3</t>
  </si>
  <si>
    <t>MARANHAO</t>
  </si>
  <si>
    <t>AIKO +2</t>
  </si>
  <si>
    <t>JORDAN</t>
  </si>
  <si>
    <t>CANIZARES +2</t>
  </si>
  <si>
    <t>MANSO</t>
  </si>
  <si>
    <t>SILVA</t>
  </si>
  <si>
    <t>CONCEICAO +1</t>
  </si>
  <si>
    <t>CICERO +1</t>
  </si>
  <si>
    <t>TAVARES</t>
  </si>
  <si>
    <t>VAN DER HEIDE</t>
  </si>
  <si>
    <t>KIMPIOKA</t>
  </si>
  <si>
    <t>SOUZA</t>
  </si>
  <si>
    <t>AFONSO</t>
  </si>
  <si>
    <t>VITA +2</t>
  </si>
  <si>
    <t>HODGE +3</t>
  </si>
  <si>
    <t>HUARTE +2</t>
  </si>
  <si>
    <t>MOUDJATOVIC</t>
  </si>
  <si>
    <t>CF ESTRELA AMADORA</t>
  </si>
  <si>
    <t>RIBEIRO</t>
  </si>
  <si>
    <t>ENCADA +2</t>
  </si>
  <si>
    <t>PATRICK +2</t>
  </si>
  <si>
    <t>SCHAPPO +2</t>
  </si>
  <si>
    <t>LANGA</t>
  </si>
  <si>
    <t>DOUE +2</t>
  </si>
  <si>
    <t>MOREIRA</t>
  </si>
  <si>
    <t>MEIRELES +2</t>
  </si>
  <si>
    <t>MARCUS +2</t>
  </si>
  <si>
    <t>CABRAL</t>
  </si>
  <si>
    <t>VAN HOOIJDONK +2</t>
  </si>
  <si>
    <t>DUDU +2</t>
  </si>
  <si>
    <t>SCHOLZE +2</t>
  </si>
  <si>
    <t>LEKOVIC</t>
  </si>
  <si>
    <t>OTAVIO +3</t>
  </si>
  <si>
    <t>KALLEY +2</t>
  </si>
  <si>
    <t>JANSSON +2</t>
  </si>
  <si>
    <t>ROBINHO +2</t>
  </si>
  <si>
    <t>BRAHIMI</t>
  </si>
  <si>
    <t>STOICA +2</t>
  </si>
  <si>
    <t>PINHO +1</t>
  </si>
  <si>
    <t>PINTO +2</t>
  </si>
  <si>
    <t>DRAME +1</t>
  </si>
  <si>
    <t>NI +2</t>
  </si>
  <si>
    <t>MOUSTIER +2</t>
  </si>
  <si>
    <t>SOUZA +2</t>
  </si>
  <si>
    <t>ANTONETTI +2</t>
  </si>
  <si>
    <t>GRILO +2</t>
  </si>
  <si>
    <t>TUNGULIYADI +3</t>
  </si>
  <si>
    <t>SOLA +2</t>
  </si>
  <si>
    <t>GBOMADU +1</t>
  </si>
  <si>
    <t>ONUOHA</t>
  </si>
  <si>
    <t>FC ALVERCA</t>
  </si>
  <si>
    <t>GOMES</t>
  </si>
  <si>
    <t>TOUAIZI +2</t>
  </si>
  <si>
    <t>NAVES</t>
  </si>
  <si>
    <t>MEUPIYOU +2</t>
  </si>
  <si>
    <t>CHISSUMBA</t>
  </si>
  <si>
    <t>ABDULAI +2</t>
  </si>
  <si>
    <t>RHALDNEY</t>
  </si>
  <si>
    <t>LINCOLN +1</t>
  </si>
  <si>
    <t>FIGUEIREDO +2</t>
  </si>
  <si>
    <t>MILOVANOVIC</t>
  </si>
  <si>
    <t>MENDES +2</t>
  </si>
  <si>
    <t>SPENCER</t>
  </si>
  <si>
    <t>GOMEZ +1</t>
  </si>
  <si>
    <t>MARTINEZ +3</t>
  </si>
  <si>
    <t>JAMES +1</t>
  </si>
  <si>
    <t>MOREIRA +2</t>
  </si>
  <si>
    <t>GUI +2</t>
  </si>
  <si>
    <t>GARCIA</t>
  </si>
  <si>
    <t>NOUZZI +2</t>
  </si>
  <si>
    <t>LIMA</t>
  </si>
  <si>
    <t>MATEUS +2</t>
  </si>
  <si>
    <t>BASEYA +2</t>
  </si>
  <si>
    <t>KASSARY</t>
  </si>
  <si>
    <t>DIARRA +2</t>
  </si>
  <si>
    <t>CHIQUINHO +2</t>
  </si>
  <si>
    <t>CLAIRICIA</t>
  </si>
  <si>
    <t>PAULO</t>
  </si>
  <si>
    <t>SOUMARE +2</t>
  </si>
  <si>
    <t>FC AROUCA</t>
  </si>
  <si>
    <t>DE ARRUABARRENA</t>
  </si>
  <si>
    <t>ESGAIO +1</t>
  </si>
  <si>
    <t>SANCHEZ</t>
  </si>
  <si>
    <t>FONTAN +1</t>
  </si>
  <si>
    <t>KUIPERS</t>
  </si>
  <si>
    <t>FUKUI +2</t>
  </si>
  <si>
    <t>LEE +2</t>
  </si>
  <si>
    <t>TREZZA +1</t>
  </si>
  <si>
    <t>DJOUAHRA +1</t>
  </si>
  <si>
    <t>BARBERO +1</t>
  </si>
  <si>
    <t>VALIDO +1</t>
  </si>
  <si>
    <t>POPOVIC +2</t>
  </si>
  <si>
    <t>DANTE +2</t>
  </si>
  <si>
    <t>VAN EE +3</t>
  </si>
  <si>
    <t>GOZALBEZ +1</t>
  </si>
  <si>
    <t>PUCHE +2</t>
  </si>
  <si>
    <t>NANDIN +2</t>
  </si>
  <si>
    <t>VINARCIK +2</t>
  </si>
  <si>
    <t>FAYED</t>
  </si>
  <si>
    <t>SANTOS +2</t>
  </si>
  <si>
    <t>MANSILLA +2</t>
  </si>
  <si>
    <t>MAYULU</t>
  </si>
  <si>
    <t>ROCHA +1</t>
  </si>
  <si>
    <t>SANTIAGO</t>
  </si>
  <si>
    <t>MONTEIRO +2</t>
  </si>
  <si>
    <t>FLORES</t>
  </si>
  <si>
    <t>FC FAMALICAO</t>
  </si>
  <si>
    <t>CAREVIC +2</t>
  </si>
  <si>
    <t>PINHEIRO +1</t>
  </si>
  <si>
    <t>REALPE +3</t>
  </si>
  <si>
    <t>DE HAAS</t>
  </si>
  <si>
    <t>BONDO +3</t>
  </si>
  <si>
    <t>VAN DE LOOI +1</t>
  </si>
  <si>
    <t>DE AMORIM +2</t>
  </si>
  <si>
    <t>SA +3</t>
  </si>
  <si>
    <t>DIAS +1</t>
  </si>
  <si>
    <t>SORRISO +3</t>
  </si>
  <si>
    <t>ELISOR +2</t>
  </si>
  <si>
    <t>ZLOBIN +1</t>
  </si>
  <si>
    <t>GARCIA +3</t>
  </si>
  <si>
    <t>BA +3</t>
  </si>
  <si>
    <t>SERAFIMOVIC</t>
  </si>
  <si>
    <t>SOARES</t>
  </si>
  <si>
    <t>PENA +3</t>
  </si>
  <si>
    <t>LIIMATTA +1</t>
  </si>
  <si>
    <t>JOUJOU</t>
  </si>
  <si>
    <t>ABUBAKAR +4</t>
  </si>
  <si>
    <t>SANTANA +3</t>
  </si>
  <si>
    <t>MAMAGEISHVILI +3</t>
  </si>
  <si>
    <t>BENEY +4</t>
  </si>
  <si>
    <t>ROCHINHA +1</t>
  </si>
  <si>
    <t>ARANDA</t>
  </si>
  <si>
    <t>FC PORTO</t>
  </si>
  <si>
    <t>COSTA +4</t>
  </si>
  <si>
    <t>BEDNAREK +3</t>
  </si>
  <si>
    <t>KIWIOR</t>
  </si>
  <si>
    <t>MOURA +3</t>
  </si>
  <si>
    <t>VARELA +4</t>
  </si>
  <si>
    <t>FROHOLDT +4</t>
  </si>
  <si>
    <t>VEIGA +4</t>
  </si>
  <si>
    <t>PEPE +2</t>
  </si>
  <si>
    <t>PIETUSZEWSKI +3</t>
  </si>
  <si>
    <t>AGHEHOWA +3</t>
  </si>
  <si>
    <t>RAMOS +1</t>
  </si>
  <si>
    <t>FERNANDES +4</t>
  </si>
  <si>
    <t>PRPIC +4</t>
  </si>
  <si>
    <t>SANUSI +1</t>
  </si>
  <si>
    <t>ROSARIO +3</t>
  </si>
  <si>
    <t>FOFANA</t>
  </si>
  <si>
    <t>MORA +4</t>
  </si>
  <si>
    <t>GOMES +3</t>
  </si>
  <si>
    <t>SAINZ +4</t>
  </si>
  <si>
    <t>GUL +3</t>
  </si>
  <si>
    <t>PEREZ +3</t>
  </si>
  <si>
    <t>KARAMOH</t>
  </si>
  <si>
    <t>MOFFI</t>
  </si>
  <si>
    <t>DE JONG</t>
  </si>
  <si>
    <t>GD ESTORIL PRAIA</t>
  </si>
  <si>
    <t>ROBLES +2</t>
  </si>
  <si>
    <t>SANCHEZ +1</t>
  </si>
  <si>
    <t>BACHER +2</t>
  </si>
  <si>
    <t>ISRAELOV</t>
  </si>
  <si>
    <t>AMARAL</t>
  </si>
  <si>
    <t>HOLSGROVE +2</t>
  </si>
  <si>
    <t>ORELLANO +1</t>
  </si>
  <si>
    <t>GUITANE +1</t>
  </si>
  <si>
    <t>CARVALHO +1</t>
  </si>
  <si>
    <t>BEGRAOUI +2</t>
  </si>
  <si>
    <t>TURK +2</t>
  </si>
  <si>
    <t>CARVALHO +2</t>
  </si>
  <si>
    <t>BOMA +2</t>
  </si>
  <si>
    <t>PIZZI +1</t>
  </si>
  <si>
    <t>DIAS</t>
  </si>
  <si>
    <t>TSOUNGUI +3</t>
  </si>
  <si>
    <t>LOMINADZE +3</t>
  </si>
  <si>
    <t>LACXIMICANT +2</t>
  </si>
  <si>
    <t>FERRO +1</t>
  </si>
  <si>
    <t>XEKA +2</t>
  </si>
  <si>
    <t>EDWARDS +2</t>
  </si>
  <si>
    <t>GIL VICENTE FC</t>
  </si>
  <si>
    <t>LUCAO +2</t>
  </si>
  <si>
    <t>ZE CARLOS</t>
  </si>
  <si>
    <t>ELIMBI +2</t>
  </si>
  <si>
    <t>KONAN</t>
  </si>
  <si>
    <t>CASERES +2</t>
  </si>
  <si>
    <t>ESTEVES +2</t>
  </si>
  <si>
    <t>GARCIA +1</t>
  </si>
  <si>
    <t>MURILO +1</t>
  </si>
  <si>
    <t>FERNANDES +3</t>
  </si>
  <si>
    <t>VARELA</t>
  </si>
  <si>
    <t>FIGUEIRA +1</t>
  </si>
  <si>
    <t>HEVERTTON</t>
  </si>
  <si>
    <t>BUATU +2</t>
  </si>
  <si>
    <t>WEVERSON +2</t>
  </si>
  <si>
    <t>BAMBA +1</t>
  </si>
  <si>
    <t>ZE CARLOS +2</t>
  </si>
  <si>
    <t>MARTINS +2</t>
  </si>
  <si>
    <t>BERMEJO +1</t>
  </si>
  <si>
    <t>FERNANDEZ</t>
  </si>
  <si>
    <t>EDUARDO +2</t>
  </si>
  <si>
    <t>MUTOMBO +1</t>
  </si>
  <si>
    <t>ESPIGARES +3</t>
  </si>
  <si>
    <t>MAIA +1</t>
  </si>
  <si>
    <t>TOURE +1</t>
  </si>
  <si>
    <t>FERNANDEZ +1</t>
  </si>
  <si>
    <t>TCHAPTCHET +1</t>
  </si>
  <si>
    <t>MOREIRENSE FC</t>
  </si>
  <si>
    <t>PINTO +1</t>
  </si>
  <si>
    <t>MARACAS</t>
  </si>
  <si>
    <t>KIKO +3</t>
  </si>
  <si>
    <t>STJEPANOVIC +3</t>
  </si>
  <si>
    <t>ALONSO +2</t>
  </si>
  <si>
    <t>ALAN</t>
  </si>
  <si>
    <t>TRAVASSOS</t>
  </si>
  <si>
    <t>BONDOSO +1</t>
  </si>
  <si>
    <t>SECCO +1</t>
  </si>
  <si>
    <t>SANTOS +4</t>
  </si>
  <si>
    <t>BATISTA +1</t>
  </si>
  <si>
    <t>MARTINEZ +2</t>
  </si>
  <si>
    <t>ASSIS +3</t>
  </si>
  <si>
    <t>LANDERSON +4</t>
  </si>
  <si>
    <t>MARANHAO +3</t>
  </si>
  <si>
    <t>MIKA</t>
  </si>
  <si>
    <t>FABIANO</t>
  </si>
  <si>
    <t>MICHEL</t>
  </si>
  <si>
    <t>JOHN +3</t>
  </si>
  <si>
    <t>TEGUIA +2</t>
  </si>
  <si>
    <t>MONTEIRO</t>
  </si>
  <si>
    <t>GOWER +2</t>
  </si>
  <si>
    <t>RIO AVE FC</t>
  </si>
  <si>
    <t>VAN DER GOUW</t>
  </si>
  <si>
    <t>VROUSAI +1</t>
  </si>
  <si>
    <t>NTOI +2</t>
  </si>
  <si>
    <t>MANCHA</t>
  </si>
  <si>
    <t>RICHARDS</t>
  </si>
  <si>
    <t>LIAVAS +3</t>
  </si>
  <si>
    <t>AGUILERA +1</t>
  </si>
  <si>
    <t>SPIKIC +2</t>
  </si>
  <si>
    <t>POHLMANN +1</t>
  </si>
  <si>
    <t>BLESA +4</t>
  </si>
  <si>
    <t>MISZTA +1</t>
  </si>
  <si>
    <t>TOME +1</t>
  </si>
  <si>
    <t>BRABEC +2</t>
  </si>
  <si>
    <t>ABBEY +2</t>
  </si>
  <si>
    <t>BUTA</t>
  </si>
  <si>
    <t>NIKITSCHER +3</t>
  </si>
  <si>
    <t>GRACA</t>
  </si>
  <si>
    <t>BEZERRA +4</t>
  </si>
  <si>
    <t>PAPAKANELLOS</t>
  </si>
  <si>
    <t>TAMBLE</t>
  </si>
  <si>
    <t>CHAMORRO +1</t>
  </si>
  <si>
    <t>PETRASSO +2</t>
  </si>
  <si>
    <t>GUILHERME +4</t>
  </si>
  <si>
    <t>LOBATO +3</t>
  </si>
  <si>
    <t>MEDINA +2</t>
  </si>
  <si>
    <t>ZOABI +2</t>
  </si>
  <si>
    <t>LOMBOTO</t>
  </si>
  <si>
    <t>REHMI +2</t>
  </si>
  <si>
    <t>GUAL +2</t>
  </si>
  <si>
    <t>SC BRAGA</t>
  </si>
  <si>
    <t>HORNICEK +2</t>
  </si>
  <si>
    <t>GOMEZ +2</t>
  </si>
  <si>
    <t>BARISIC</t>
  </si>
  <si>
    <t>ARREY-MBI +3</t>
  </si>
  <si>
    <t>LELO +3</t>
  </si>
  <si>
    <t>GRILLITSCH +1</t>
  </si>
  <si>
    <t>MOUTINHO</t>
  </si>
  <si>
    <t>ZALAZAR +2</t>
  </si>
  <si>
    <t>HORTA +2</t>
  </si>
  <si>
    <t>VICTOR +4</t>
  </si>
  <si>
    <t>BELLAAROUCH +4</t>
  </si>
  <si>
    <t>DORGELES +4</t>
  </si>
  <si>
    <t>LAGERBIELKE +4</t>
  </si>
  <si>
    <t>NIAKATE +2</t>
  </si>
  <si>
    <t>GORBY +2</t>
  </si>
  <si>
    <t>NAVARRO +3</t>
  </si>
  <si>
    <t>SA +1</t>
  </si>
  <si>
    <t>OLIVEIRA</t>
  </si>
  <si>
    <t>MOSCARDO</t>
  </si>
  <si>
    <t>RODRIGUES +4</t>
  </si>
  <si>
    <t>VIDIGAL +3</t>
  </si>
  <si>
    <t>EL OUAZZANI +3</t>
  </si>
  <si>
    <t>NORO +1</t>
  </si>
  <si>
    <t>TIKNAZ +5</t>
  </si>
  <si>
    <t>MERHEG +2</t>
  </si>
  <si>
    <t xml:space="preserve">DA ROCHA </t>
  </si>
  <si>
    <t>SL BENFICA</t>
  </si>
  <si>
    <t>TRUBIN +2</t>
  </si>
  <si>
    <t>DEDIC +4</t>
  </si>
  <si>
    <t>OTAMENDI</t>
  </si>
  <si>
    <t>DAHL +3</t>
  </si>
  <si>
    <t>AURSNES +3</t>
  </si>
  <si>
    <t>RIOS +4</t>
  </si>
  <si>
    <t>RAFA SILVA +2</t>
  </si>
  <si>
    <t>PRESTIANNI +3</t>
  </si>
  <si>
    <t>SCHJELDERUP +2</t>
  </si>
  <si>
    <t>PAVLIDIS +3</t>
  </si>
  <si>
    <t>LOPES +4</t>
  </si>
  <si>
    <t>NETO +1</t>
  </si>
  <si>
    <t>BARRENECHEA</t>
  </si>
  <si>
    <t>VELOSO +2</t>
  </si>
  <si>
    <t>BARREIRO +3</t>
  </si>
  <si>
    <t>LUKEBAKIO +4</t>
  </si>
  <si>
    <t>SUDAKOV</t>
  </si>
  <si>
    <t>IVANOVIC +4</t>
  </si>
  <si>
    <t>BANJAQUI +1</t>
  </si>
  <si>
    <t>ARAUJO +3</t>
  </si>
  <si>
    <t>SILVA +4</t>
  </si>
  <si>
    <t>REGO +2</t>
  </si>
  <si>
    <t>BRUMA +2</t>
  </si>
  <si>
    <t>CABRAL +5</t>
  </si>
  <si>
    <t>ARAUJO +1</t>
  </si>
  <si>
    <t>BAH +3</t>
  </si>
  <si>
    <t>SPORTING CP</t>
  </si>
  <si>
    <t>SILVA +2</t>
  </si>
  <si>
    <t>FRESNEDA +2</t>
  </si>
  <si>
    <t>DIOMANDE +4</t>
  </si>
  <si>
    <t>INACIO +4</t>
  </si>
  <si>
    <t>HJULMAND +2</t>
  </si>
  <si>
    <t>MORITA</t>
  </si>
  <si>
    <t>TRINCAO +1</t>
  </si>
  <si>
    <t>GONCALVES +4</t>
  </si>
  <si>
    <t>SUAREZ +4</t>
  </si>
  <si>
    <t>VIRGINIA +2</t>
  </si>
  <si>
    <t>VAGIANNIDIS +4</t>
  </si>
  <si>
    <t>DEBAST +3</t>
  </si>
  <si>
    <t>MANGAS +3</t>
  </si>
  <si>
    <t>KOCHORASHVILI +4</t>
  </si>
  <si>
    <t>SIMOES +4</t>
  </si>
  <si>
    <t>CATAMO +2</t>
  </si>
  <si>
    <t>IOANNIDIS +4</t>
  </si>
  <si>
    <t>QUARESMA +2</t>
  </si>
  <si>
    <t>BRAGANCA +1</t>
  </si>
  <si>
    <t>QUENDA +1</t>
  </si>
  <si>
    <t>FAYE +4</t>
  </si>
  <si>
    <t>VITORIA GUIMARAES SC</t>
  </si>
  <si>
    <t>CASTILLO +3</t>
  </si>
  <si>
    <t>MAGA +1</t>
  </si>
  <si>
    <t>NOBREGA +2</t>
  </si>
  <si>
    <t>ABASCAL +1</t>
  </si>
  <si>
    <t>MUKENDI +3</t>
  </si>
  <si>
    <t>NOGUEIRA +2</t>
  </si>
  <si>
    <t>SAMU +1</t>
  </si>
  <si>
    <t>ARCANJO +1</t>
  </si>
  <si>
    <t>SAVIOLO +2</t>
  </si>
  <si>
    <t>CHARLES +1</t>
  </si>
  <si>
    <t>STRATA +3</t>
  </si>
  <si>
    <t>BALIEIRO +3</t>
  </si>
  <si>
    <t>RIVAS +2</t>
  </si>
  <si>
    <t>LEBEDENKO +2</t>
  </si>
  <si>
    <t>MITROVIC +3</t>
  </si>
  <si>
    <t>CAMARA +3</t>
  </si>
  <si>
    <t>NDOYE +3</t>
  </si>
  <si>
    <t>BLANCO +3</t>
  </si>
  <si>
    <t>OPARA +3</t>
  </si>
  <si>
    <t>Date Last Updated</t>
  </si>
  <si>
    <t xml:space="preserve"> League</t>
  </si>
  <si>
    <t>Position Category</t>
  </si>
  <si>
    <t>Preferred Side</t>
  </si>
  <si>
    <t>Role Notes</t>
  </si>
  <si>
    <t>Maximum Transfer Fee
€</t>
  </si>
  <si>
    <t>Maximum Salary PW
€</t>
  </si>
  <si>
    <t>Source</t>
  </si>
  <si>
    <t>Validated</t>
  </si>
  <si>
    <t>Validated By</t>
  </si>
  <si>
    <t>Linked/Shortlisted Players</t>
  </si>
  <si>
    <t>Goalkeeper</t>
  </si>
  <si>
    <t>Either</t>
  </si>
  <si>
    <t>Intel</t>
  </si>
  <si>
    <t>NO</t>
  </si>
  <si>
    <t>Full Back</t>
  </si>
  <si>
    <t>Right</t>
  </si>
  <si>
    <t>Left</t>
  </si>
  <si>
    <t>Centre Back</t>
  </si>
  <si>
    <t>Winger</t>
  </si>
  <si>
    <t>Alexi Pitu</t>
  </si>
  <si>
    <t>Centre Forward</t>
  </si>
  <si>
    <t>Defensive Midfield</t>
  </si>
  <si>
    <t>Centre Midfield</t>
  </si>
  <si>
    <t>Attacking Midfield</t>
  </si>
  <si>
    <t>Wing Back</t>
  </si>
  <si>
    <t>U23 with sell-on value</t>
  </si>
  <si>
    <t>Tjark Ernst</t>
  </si>
  <si>
    <t>Ibrahima Ba</t>
  </si>
  <si>
    <t>Tahirovic</t>
  </si>
  <si>
    <t>Mouzakitis</t>
  </si>
  <si>
    <t>Batrakov / Komur</t>
  </si>
  <si>
    <t>Bardghji / Balde</t>
  </si>
  <si>
    <t>Vrousai</t>
  </si>
  <si>
    <t>Boudache</t>
  </si>
  <si>
    <t>Kostic / Guerreiro</t>
  </si>
  <si>
    <t>de Vrij / Mosquera</t>
  </si>
  <si>
    <t>Doumbia</t>
  </si>
  <si>
    <t>Silva / Dahl</t>
  </si>
  <si>
    <t>Balde</t>
  </si>
  <si>
    <t>Weghorst</t>
  </si>
  <si>
    <t>To replace Fresneda</t>
  </si>
  <si>
    <t>Beraldo / Ba</t>
  </si>
  <si>
    <t>Doumbia / De Cat</t>
  </si>
  <si>
    <t>Altimira / Dahl / Casadei</t>
  </si>
  <si>
    <t>Balde / Yeremay</t>
  </si>
  <si>
    <t>Vipotnik</t>
  </si>
  <si>
    <t>Bozenik</t>
  </si>
  <si>
    <t>CB</t>
  </si>
  <si>
    <t>Avs</t>
  </si>
  <si>
    <t>Casa Pia</t>
  </si>
  <si>
    <t>Estrela</t>
  </si>
  <si>
    <t>Famalicao</t>
  </si>
  <si>
    <t>Nacional</t>
  </si>
  <si>
    <t>Santa Clara</t>
  </si>
  <si>
    <t>Tondela</t>
  </si>
  <si>
    <t>Arouca</t>
  </si>
  <si>
    <t>Alverca</t>
  </si>
  <si>
    <t>Rio Ave</t>
  </si>
  <si>
    <t>Gil Vicente</t>
  </si>
  <si>
    <t>Moreirense</t>
  </si>
  <si>
    <t>Braga</t>
  </si>
  <si>
    <t>Estoril</t>
  </si>
  <si>
    <t>Benfica</t>
  </si>
  <si>
    <t>Sporting</t>
  </si>
  <si>
    <t>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</si>
</sst>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-809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5" fillId="0" borderId="1" xfId="0" applyFont="1" applyBorder="1"/>
    <xf numFmtId="0" fontId="5" fillId="4" borderId="2" xfId="0" applyFont="1" applyFill="1" applyBorder="1"/>
    <xf numFmtId="0" fontId="4" fillId="0" borderId="2" xfId="0" applyFont="1" applyBorder="1"/>
    <xf numFmtId="0" fontId="5" fillId="4" borderId="3" xfId="0" applyFont="1" applyFill="1" applyBorder="1"/>
    <xf numFmtId="0" fontId="5" fillId="0" borderId="4" xfId="0" applyFont="1" applyBorder="1"/>
    <xf numFmtId="0" fontId="7" fillId="5" borderId="0" xfId="0" applyFont="1" applyFill="1"/>
    <xf numFmtId="0" fontId="7" fillId="6" borderId="0" xfId="0" applyFont="1" applyFill="1"/>
    <xf numFmtId="0" fontId="7" fillId="0" borderId="0" xfId="0" applyFont="1"/>
    <xf numFmtId="0" fontId="7" fillId="7" borderId="0" xfId="0" applyFont="1" applyFill="1"/>
    <xf numFmtId="0" fontId="7" fillId="6" borderId="5" xfId="0" applyFont="1" applyFill="1" applyBorder="1"/>
    <xf numFmtId="0" fontId="4" fillId="0" borderId="4" xfId="0" applyFont="1" applyBorder="1"/>
    <xf numFmtId="0" fontId="7" fillId="5" borderId="5" xfId="0" applyFont="1" applyFill="1" applyBorder="1"/>
    <xf numFmtId="0" fontId="7" fillId="0" borderId="5" xfId="0" applyFont="1" applyBorder="1"/>
    <xf numFmtId="0" fontId="7" fillId="7" borderId="5" xfId="0" applyFont="1" applyFill="1" applyBorder="1"/>
    <xf numFmtId="0" fontId="4" fillId="0" borderId="3" xfId="0" applyFont="1" applyBorder="1"/>
    <xf numFmtId="0" fontId="7" fillId="8" borderId="0" xfId="0" applyFont="1" applyFill="1"/>
    <xf numFmtId="0" fontId="7" fillId="0" borderId="6" xfId="0" applyFont="1" applyBorder="1"/>
    <xf numFmtId="0" fontId="8" fillId="0" borderId="4" xfId="0" applyFont="1" applyBorder="1"/>
    <xf numFmtId="0" fontId="4" fillId="0" borderId="7" xfId="0" applyFont="1" applyBorder="1"/>
    <xf numFmtId="0" fontId="7" fillId="0" borderId="8" xfId="0" applyFont="1" applyBorder="1"/>
    <xf numFmtId="0" fontId="4" fillId="0" borderId="8" xfId="0" applyFont="1" applyBorder="1"/>
    <xf numFmtId="3" fontId="4" fillId="0" borderId="0" xfId="0" applyNumberFormat="1" applyFont="1"/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49" fontId="3" fillId="2" borderId="9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20" fontId="10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lub Overview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 xr9:uid="{00000000-0011-0000-FFFF-FFFF02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K20">
  <tableColumns count="11">
    <tableColumn id="1" xr3:uid="{00000000-0010-0000-0000-000001000000}" name="Club Name"/>
    <tableColumn id="2" xr3:uid="{00000000-0010-0000-0000-000002000000}" name="League"/>
    <tableColumn id="3" xr3:uid="{00000000-0010-0000-0000-000003000000}" name="Formation"/>
    <tableColumn id="4" xr3:uid="{00000000-0010-0000-0000-000004000000}" name="Manager"/>
    <tableColumn id="5" xr3:uid="{00000000-0010-0000-0000-000005000000}" name="Agent Preferences"/>
    <tableColumn id="6" xr3:uid="{00000000-0010-0000-0000-000006000000}" name="Sci Skill Rotation Player Level"/>
    <tableColumn id="7" xr3:uid="{00000000-0010-0000-0000-000007000000}" name="Sci Skill 1st Team Level"/>
    <tableColumn id="8" xr3:uid="{00000000-0010-0000-0000-000008000000}" name="Sci Skill Key Player Level"/>
    <tableColumn id="9" xr3:uid="{00000000-0010-0000-0000-000009000000}" name="Highest Transfer Fee 25/26_x000a_€"/>
    <tableColumn id="10" xr3:uid="{00000000-0010-0000-0000-00000A000000}" name="Highest Sale 25/26_x000a_€"/>
    <tableColumn id="11" xr3:uid="{00000000-0010-0000-0000-00000B000000}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_Gaps" displayName="Market_Gaps" ref="A1:N19">
  <autoFilter ref="A1:N19" xr:uid="{00000000-0009-0000-0100-000002000000}"/>
  <tableColumns count="14">
    <tableColumn id="1" xr3:uid="{00000000-0010-0000-0100-000001000000}" name="Club"/>
    <tableColumn id="2" xr3:uid="{00000000-0010-0000-0100-000002000000}" name="League"/>
    <tableColumn id="3" xr3:uid="{00000000-0010-0000-0100-000003000000}" name="GK"/>
    <tableColumn id="4" xr3:uid="{00000000-0010-0000-0100-000004000000}" name="RB"/>
    <tableColumn id="5" xr3:uid="{00000000-0010-0000-0100-000005000000}" name="RCB"/>
    <tableColumn id="6" xr3:uid="{00000000-0010-0000-0100-000006000000}" name="LCB"/>
    <tableColumn id="7" xr3:uid="{00000000-0010-0000-0100-000007000000}" name="LB"/>
    <tableColumn id="8" xr3:uid="{00000000-0010-0000-0100-000008000000}" name="DM"/>
    <tableColumn id="9" xr3:uid="{00000000-0010-0000-0100-000009000000}" name="CM"/>
    <tableColumn id="10" xr3:uid="{00000000-0010-0000-0100-00000A000000}" name="AM"/>
    <tableColumn id="11" xr3:uid="{00000000-0010-0000-0100-00000B000000}" name="RW"/>
    <tableColumn id="12" xr3:uid="{00000000-0010-0000-0100-00000C000000}" name="LW"/>
    <tableColumn id="13" xr3:uid="{00000000-0010-0000-0100-00000D000000}" name="CF"/>
    <tableColumn id="14" xr3:uid="{00000000-0010-0000-0100-00000E000000}" name="Total Positional Gap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L98">
  <autoFilter ref="A1:L98" xr:uid="{00000000-0009-0000-0100-000003000000}">
    <filterColumn colId="3">
      <filters>
        <filter val="Winger"/>
      </filters>
    </filterColumn>
  </autoFilter>
  <tableColumns count="12">
    <tableColumn id="1" xr3:uid="{00000000-0010-0000-0200-000001000000}" name="Date Last Updated"/>
    <tableColumn id="2" xr3:uid="{00000000-0010-0000-0200-000002000000}" name="Club"/>
    <tableColumn id="3" xr3:uid="{00000000-0010-0000-0200-000003000000}" name=" League"/>
    <tableColumn id="4" xr3:uid="{00000000-0010-0000-0200-000004000000}" name="Position Category"/>
    <tableColumn id="5" xr3:uid="{00000000-0010-0000-0200-000005000000}" name="Preferred Side"/>
    <tableColumn id="6" xr3:uid="{00000000-0010-0000-0200-000006000000}" name="Role Notes"/>
    <tableColumn id="7" xr3:uid="{00000000-0010-0000-0200-000007000000}" name="Maximum Transfer Fee_x000a_€"/>
    <tableColumn id="8" xr3:uid="{00000000-0010-0000-0200-000008000000}" name="Maximum Salary PW_x000a_€"/>
    <tableColumn id="9" xr3:uid="{00000000-0010-0000-0200-000009000000}" name="Source"/>
    <tableColumn id="10" xr3:uid="{00000000-0010-0000-0200-00000A000000}" name="Validated"/>
    <tableColumn id="11" xr3:uid="{00000000-0010-0000-0200-00000B000000}" name="Validated By"/>
    <tableColumn id="12" xr3:uid="{00000000-0010-0000-0200-00000C000000}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5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2.83203125" customWidth="1"/>
    <col min="3" max="3" width="14" customWidth="1"/>
    <col min="4" max="4" width="20" customWidth="1"/>
    <col min="5" max="5" width="48.33203125" customWidth="1"/>
  </cols>
  <sheetData>
    <row r="1" spans="1:26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15">
      <c r="A3" s="4" t="s">
        <v>11</v>
      </c>
      <c r="B3" s="5" t="s">
        <v>12</v>
      </c>
      <c r="C3" s="6">
        <v>4231</v>
      </c>
      <c r="D3" s="6" t="s">
        <v>13</v>
      </c>
      <c r="E3" s="7" t="s">
        <v>14</v>
      </c>
      <c r="F3" s="8">
        <v>48</v>
      </c>
      <c r="G3" s="8">
        <v>52</v>
      </c>
      <c r="H3" s="8">
        <v>55</v>
      </c>
      <c r="I3" s="9">
        <v>0</v>
      </c>
      <c r="J3" s="9">
        <v>3000000</v>
      </c>
      <c r="K3" s="9">
        <v>10000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15">
      <c r="A4" s="10" t="s">
        <v>15</v>
      </c>
      <c r="B4" s="5" t="s">
        <v>12</v>
      </c>
      <c r="C4" s="6">
        <v>343</v>
      </c>
      <c r="D4" s="6" t="s">
        <v>16</v>
      </c>
      <c r="E4" s="7" t="s">
        <v>14</v>
      </c>
      <c r="F4" s="8">
        <v>51</v>
      </c>
      <c r="G4" s="8">
        <v>56</v>
      </c>
      <c r="H4" s="8">
        <v>62</v>
      </c>
      <c r="I4" s="9">
        <v>280000</v>
      </c>
      <c r="J4" s="9">
        <v>6500000</v>
      </c>
      <c r="K4" s="9">
        <v>12500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15">
      <c r="A5" s="10" t="s">
        <v>17</v>
      </c>
      <c r="B5" s="5" t="s">
        <v>12</v>
      </c>
      <c r="C5" s="6">
        <v>433</v>
      </c>
      <c r="D5" s="6" t="s">
        <v>18</v>
      </c>
      <c r="E5" s="7" t="s">
        <v>19</v>
      </c>
      <c r="F5" s="8">
        <v>42</v>
      </c>
      <c r="G5" s="8">
        <v>55</v>
      </c>
      <c r="H5" s="8">
        <v>62</v>
      </c>
      <c r="I5" s="9">
        <v>1000000</v>
      </c>
      <c r="J5" s="9">
        <v>0</v>
      </c>
      <c r="K5" s="9">
        <v>9000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15">
      <c r="A6" s="10" t="s">
        <v>20</v>
      </c>
      <c r="B6" s="5" t="s">
        <v>12</v>
      </c>
      <c r="C6" s="6">
        <v>433</v>
      </c>
      <c r="D6" s="6" t="s">
        <v>21</v>
      </c>
      <c r="E6" s="5" t="s">
        <v>22</v>
      </c>
      <c r="F6" s="11">
        <v>51</v>
      </c>
      <c r="G6" s="11">
        <v>60</v>
      </c>
      <c r="H6" s="11">
        <v>66</v>
      </c>
      <c r="I6" s="9">
        <v>1350000</v>
      </c>
      <c r="J6" s="9">
        <v>2000000</v>
      </c>
      <c r="K6" s="9">
        <v>9000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15">
      <c r="A7" s="10" t="s">
        <v>23</v>
      </c>
      <c r="B7" s="5" t="s">
        <v>12</v>
      </c>
      <c r="C7" s="6">
        <v>4231</v>
      </c>
      <c r="D7" s="6" t="s">
        <v>24</v>
      </c>
      <c r="E7" s="5" t="s">
        <v>25</v>
      </c>
      <c r="F7" s="11">
        <v>43</v>
      </c>
      <c r="G7" s="11">
        <v>51</v>
      </c>
      <c r="H7" s="11">
        <v>58</v>
      </c>
      <c r="I7" s="9">
        <v>2500000</v>
      </c>
      <c r="J7" s="9">
        <v>1500000</v>
      </c>
      <c r="K7" s="9">
        <v>9000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15">
      <c r="A8" s="10" t="s">
        <v>26</v>
      </c>
      <c r="B8" s="5" t="s">
        <v>12</v>
      </c>
      <c r="C8" s="6">
        <v>4141</v>
      </c>
      <c r="D8" s="6" t="s">
        <v>27</v>
      </c>
      <c r="E8" s="5" t="s">
        <v>14</v>
      </c>
      <c r="F8" s="11">
        <v>39</v>
      </c>
      <c r="G8" s="11">
        <v>53</v>
      </c>
      <c r="H8" s="11">
        <v>57</v>
      </c>
      <c r="I8" s="9">
        <v>1300000</v>
      </c>
      <c r="J8" s="9">
        <v>6000000</v>
      </c>
      <c r="K8" s="9">
        <v>9000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15">
      <c r="A9" s="4" t="s">
        <v>28</v>
      </c>
      <c r="B9" s="5" t="s">
        <v>12</v>
      </c>
      <c r="C9" s="6">
        <v>343</v>
      </c>
      <c r="D9" s="6" t="s">
        <v>29</v>
      </c>
      <c r="E9" s="7" t="s">
        <v>30</v>
      </c>
      <c r="F9" s="8">
        <v>42</v>
      </c>
      <c r="G9" s="8">
        <v>53</v>
      </c>
      <c r="H9" s="8">
        <v>64</v>
      </c>
      <c r="I9" s="9">
        <v>750000</v>
      </c>
      <c r="J9" s="9">
        <v>7500000</v>
      </c>
      <c r="K9" s="9">
        <v>9000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15">
      <c r="A10" s="4" t="s">
        <v>31</v>
      </c>
      <c r="B10" s="5" t="s">
        <v>12</v>
      </c>
      <c r="C10" s="6">
        <v>4231</v>
      </c>
      <c r="D10" s="6" t="s">
        <v>32</v>
      </c>
      <c r="E10" s="5" t="s">
        <v>33</v>
      </c>
      <c r="F10" s="11">
        <v>50</v>
      </c>
      <c r="G10" s="11">
        <v>59</v>
      </c>
      <c r="H10" s="11">
        <v>63</v>
      </c>
      <c r="I10" s="9">
        <v>1500000</v>
      </c>
      <c r="J10" s="9">
        <v>6000000</v>
      </c>
      <c r="K10" s="9">
        <v>11000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15">
      <c r="A11" s="4" t="s">
        <v>34</v>
      </c>
      <c r="B11" s="5" t="s">
        <v>12</v>
      </c>
      <c r="C11" s="6">
        <v>433</v>
      </c>
      <c r="D11" s="6" t="s">
        <v>35</v>
      </c>
      <c r="E11" s="5" t="s">
        <v>25</v>
      </c>
      <c r="F11" s="11">
        <v>43</v>
      </c>
      <c r="G11" s="11">
        <v>61</v>
      </c>
      <c r="H11" s="11">
        <v>70</v>
      </c>
      <c r="I11" s="9">
        <v>3000000</v>
      </c>
      <c r="J11" s="9">
        <v>10000000</v>
      </c>
      <c r="K11" s="9">
        <v>15000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15">
      <c r="A12" s="10" t="s">
        <v>36</v>
      </c>
      <c r="B12" s="5" t="s">
        <v>12</v>
      </c>
      <c r="C12" s="6">
        <v>433</v>
      </c>
      <c r="D12" s="6" t="s">
        <v>37</v>
      </c>
      <c r="E12" s="5" t="s">
        <v>25</v>
      </c>
      <c r="F12" s="11">
        <v>61</v>
      </c>
      <c r="G12" s="11">
        <v>78</v>
      </c>
      <c r="H12" s="11">
        <v>92</v>
      </c>
      <c r="I12" s="9">
        <v>20000000</v>
      </c>
      <c r="J12" s="9">
        <v>32000000</v>
      </c>
      <c r="K12" s="9">
        <v>90000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15">
      <c r="A13" s="10" t="s">
        <v>38</v>
      </c>
      <c r="B13" s="5" t="s">
        <v>12</v>
      </c>
      <c r="C13" s="6">
        <v>4312</v>
      </c>
      <c r="D13" s="6" t="s">
        <v>39</v>
      </c>
      <c r="E13" s="5" t="s">
        <v>40</v>
      </c>
      <c r="F13" s="11">
        <v>49</v>
      </c>
      <c r="G13" s="11">
        <v>58</v>
      </c>
      <c r="H13" s="11">
        <v>63</v>
      </c>
      <c r="I13" s="9">
        <v>700000</v>
      </c>
      <c r="J13" s="9">
        <v>3000000</v>
      </c>
      <c r="K13" s="9">
        <v>18000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15">
      <c r="A14" s="4" t="s">
        <v>41</v>
      </c>
      <c r="B14" s="5" t="s">
        <v>12</v>
      </c>
      <c r="C14" s="6">
        <v>4231</v>
      </c>
      <c r="D14" s="6" t="s">
        <v>42</v>
      </c>
      <c r="E14" s="7" t="s">
        <v>43</v>
      </c>
      <c r="F14" s="8">
        <v>45</v>
      </c>
      <c r="G14" s="8">
        <v>58</v>
      </c>
      <c r="H14" s="8">
        <v>67</v>
      </c>
      <c r="I14" s="9">
        <v>750000</v>
      </c>
      <c r="J14" s="9">
        <v>23000000</v>
      </c>
      <c r="K14" s="9">
        <v>9000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15">
      <c r="A15" s="4" t="s">
        <v>44</v>
      </c>
      <c r="B15" s="5" t="s">
        <v>12</v>
      </c>
      <c r="C15" s="6">
        <v>433</v>
      </c>
      <c r="D15" s="6" t="s">
        <v>45</v>
      </c>
      <c r="E15" s="7" t="s">
        <v>46</v>
      </c>
      <c r="F15" s="8">
        <v>44</v>
      </c>
      <c r="G15" s="8">
        <v>57</v>
      </c>
      <c r="H15" s="8">
        <v>63</v>
      </c>
      <c r="I15" s="9">
        <v>1000000</v>
      </c>
      <c r="J15" s="9">
        <v>2000000</v>
      </c>
      <c r="K15" s="9">
        <v>7000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15">
      <c r="A16" s="10" t="s">
        <v>47</v>
      </c>
      <c r="B16" s="5" t="s">
        <v>12</v>
      </c>
      <c r="C16" s="6">
        <v>4231</v>
      </c>
      <c r="D16" s="6" t="s">
        <v>48</v>
      </c>
      <c r="E16" s="5" t="s">
        <v>14</v>
      </c>
      <c r="F16" s="11">
        <v>44</v>
      </c>
      <c r="G16" s="11">
        <v>57</v>
      </c>
      <c r="H16" s="11">
        <v>61</v>
      </c>
      <c r="I16" s="9">
        <v>3000000</v>
      </c>
      <c r="J16" s="9">
        <v>6750000</v>
      </c>
      <c r="K16" s="9">
        <v>11000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15">
      <c r="A17" s="10" t="s">
        <v>49</v>
      </c>
      <c r="B17" s="5" t="s">
        <v>12</v>
      </c>
      <c r="C17" s="6">
        <v>3421</v>
      </c>
      <c r="D17" s="6" t="s">
        <v>50</v>
      </c>
      <c r="E17" s="7" t="s">
        <v>25</v>
      </c>
      <c r="F17" s="8">
        <v>60</v>
      </c>
      <c r="G17" s="8">
        <v>67</v>
      </c>
      <c r="H17" s="8">
        <v>77</v>
      </c>
      <c r="I17" s="9">
        <v>12000000</v>
      </c>
      <c r="J17" s="9">
        <v>32000000</v>
      </c>
      <c r="K17" s="9">
        <v>20000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15">
      <c r="A18" s="10" t="s">
        <v>51</v>
      </c>
      <c r="B18" s="5" t="s">
        <v>12</v>
      </c>
      <c r="C18" s="6">
        <v>4231</v>
      </c>
      <c r="D18" s="6" t="s">
        <v>52</v>
      </c>
      <c r="E18" s="5" t="s">
        <v>25</v>
      </c>
      <c r="F18" s="11">
        <v>58</v>
      </c>
      <c r="G18" s="11">
        <v>76</v>
      </c>
      <c r="H18" s="11">
        <v>86</v>
      </c>
      <c r="I18" s="9">
        <v>27000000</v>
      </c>
      <c r="J18" s="9">
        <v>50000000</v>
      </c>
      <c r="K18" s="9">
        <v>80000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15">
      <c r="A19" s="4" t="s">
        <v>53</v>
      </c>
      <c r="B19" s="5" t="s">
        <v>12</v>
      </c>
      <c r="C19" s="6">
        <v>4231</v>
      </c>
      <c r="D19" s="6" t="s">
        <v>54</v>
      </c>
      <c r="E19" s="7" t="s">
        <v>55</v>
      </c>
      <c r="F19" s="8">
        <v>60</v>
      </c>
      <c r="G19" s="8">
        <v>81</v>
      </c>
      <c r="H19" s="8">
        <v>88</v>
      </c>
      <c r="I19" s="9">
        <v>22200000</v>
      </c>
      <c r="J19" s="9">
        <v>66900000</v>
      </c>
      <c r="K19" s="9">
        <v>75000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15">
      <c r="A20" s="10" t="s">
        <v>56</v>
      </c>
      <c r="B20" s="5" t="s">
        <v>12</v>
      </c>
      <c r="C20" s="6">
        <v>4231</v>
      </c>
      <c r="D20" s="6" t="s">
        <v>57</v>
      </c>
      <c r="E20" s="5" t="s">
        <v>58</v>
      </c>
      <c r="F20" s="11">
        <v>45</v>
      </c>
      <c r="G20" s="11">
        <v>55</v>
      </c>
      <c r="H20" s="11">
        <v>61</v>
      </c>
      <c r="I20" s="9">
        <v>1200000</v>
      </c>
      <c r="J20" s="9">
        <v>3250000</v>
      </c>
      <c r="K20" s="9">
        <v>9000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</sheetData>
  <dataValidations count="1">
    <dataValidation type="list" allowBlank="1" sqref="E3:E20" xr:uid="{00000000-0002-0000-0000-000000000000}">
      <formula1>"Wasserman,AC Talent,Sports Invest UK,Unique Sports Group,N/A,CAA Base,CAA Stellar,Epic Sports,AS1,Bertolucci Sports,Roc Nation,SEG,ROOF,Gestifute,LIAN Sports Group,Sport Cover,World in Motion,V4S,PUM,Forza Sports Group,HCM Sports Management,Prime11,PURE,T"&amp;"eam Raiola,One Team Football,BLACKSKILL,Teamgeist Sportmanagement,Haspel Sportconsulting,Gol International,Peak,Sports360,ROGON,Karl Herzog Sportmanagement,MM-Management,GR Sports,M.A.R.A.T. Football Management,P&amp;P Sport Management,TMP SOCCER,YOU FIRST,Al"&amp;"l Iron Sports,MagicPlayers,Gines Carvajal,IDUB GLOBAL,LEADERBROCK,Leaguepro LDA,DK,MadeinFootball,Sferico Sports Management,MNM Sports Management"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1640625" customWidth="1"/>
    <col min="2" max="2" width="11" customWidth="1"/>
    <col min="3" max="13" width="12.6640625" customWidth="1"/>
    <col min="14" max="14" width="13.6640625" customWidth="1"/>
  </cols>
  <sheetData>
    <row r="1" spans="1:19" ht="22.5" customHeight="1" x14ac:dyDescent="0.15">
      <c r="A1" s="12" t="s">
        <v>59</v>
      </c>
      <c r="B1" s="12" t="s">
        <v>1</v>
      </c>
      <c r="C1" s="12" t="s">
        <v>60</v>
      </c>
      <c r="D1" s="13" t="s">
        <v>61</v>
      </c>
      <c r="E1" s="13" t="s">
        <v>62</v>
      </c>
      <c r="F1" s="13" t="s">
        <v>63</v>
      </c>
      <c r="G1" s="13" t="s">
        <v>64</v>
      </c>
      <c r="H1" s="13" t="s">
        <v>65</v>
      </c>
      <c r="I1" s="13" t="s">
        <v>66</v>
      </c>
      <c r="J1" s="13" t="s">
        <v>67</v>
      </c>
      <c r="K1" s="13" t="s">
        <v>68</v>
      </c>
      <c r="L1" s="13" t="s">
        <v>69</v>
      </c>
      <c r="M1" s="13" t="s">
        <v>70</v>
      </c>
      <c r="N1" s="13" t="s">
        <v>71</v>
      </c>
      <c r="O1" s="12"/>
      <c r="P1" s="12"/>
      <c r="Q1" s="12"/>
      <c r="R1" s="12"/>
      <c r="S1" s="12"/>
    </row>
    <row r="2" spans="1:19" ht="22.5" customHeight="1" x14ac:dyDescent="0.15">
      <c r="A2" s="4" t="s">
        <v>11</v>
      </c>
      <c r="B2" s="5" t="s">
        <v>12</v>
      </c>
      <c r="C2" s="6" t="s">
        <v>72</v>
      </c>
      <c r="D2" s="6" t="s">
        <v>72</v>
      </c>
      <c r="E2" s="6" t="s">
        <v>72</v>
      </c>
      <c r="F2" s="6" t="s">
        <v>72</v>
      </c>
      <c r="G2" s="6" t="s">
        <v>73</v>
      </c>
      <c r="H2" s="6" t="s">
        <v>73</v>
      </c>
      <c r="I2" s="6" t="s">
        <v>73</v>
      </c>
      <c r="J2" s="6" t="s">
        <v>73</v>
      </c>
      <c r="K2" s="6" t="s">
        <v>72</v>
      </c>
      <c r="L2" s="6" t="s">
        <v>72</v>
      </c>
      <c r="M2" s="6" t="s">
        <v>72</v>
      </c>
      <c r="N2" s="6">
        <f t="shared" ref="N2:N19" si="0">COUNTIF(C2:M2, "Open") + COUNTIF(C2:M2, "Thin")</f>
        <v>7</v>
      </c>
    </row>
    <row r="3" spans="1:19" ht="22.5" customHeight="1" x14ac:dyDescent="0.15">
      <c r="A3" s="10" t="s">
        <v>15</v>
      </c>
      <c r="B3" s="5" t="s">
        <v>12</v>
      </c>
      <c r="C3" s="6" t="s">
        <v>73</v>
      </c>
      <c r="D3" s="6" t="s">
        <v>73</v>
      </c>
      <c r="E3" s="6" t="s">
        <v>72</v>
      </c>
      <c r="F3" s="6" t="s">
        <v>72</v>
      </c>
      <c r="G3" s="6" t="s">
        <v>73</v>
      </c>
      <c r="H3" s="6" t="s">
        <v>72</v>
      </c>
      <c r="I3" s="6" t="s">
        <v>72</v>
      </c>
      <c r="J3" s="6" t="s">
        <v>73</v>
      </c>
      <c r="K3" s="6" t="s">
        <v>72</v>
      </c>
      <c r="L3" s="6" t="s">
        <v>72</v>
      </c>
      <c r="M3" s="6" t="s">
        <v>72</v>
      </c>
      <c r="N3" s="6">
        <f t="shared" si="0"/>
        <v>7</v>
      </c>
    </row>
    <row r="4" spans="1:19" ht="22.5" customHeight="1" x14ac:dyDescent="0.15">
      <c r="A4" s="10" t="s">
        <v>17</v>
      </c>
      <c r="B4" s="5" t="s">
        <v>12</v>
      </c>
      <c r="C4" s="6" t="s">
        <v>73</v>
      </c>
      <c r="D4" s="6" t="s">
        <v>72</v>
      </c>
      <c r="E4" s="6" t="s">
        <v>73</v>
      </c>
      <c r="F4" s="6" t="s">
        <v>73</v>
      </c>
      <c r="G4" s="6" t="s">
        <v>73</v>
      </c>
      <c r="H4" s="6" t="s">
        <v>72</v>
      </c>
      <c r="I4" s="6" t="s">
        <v>73</v>
      </c>
      <c r="J4" s="6" t="s">
        <v>73</v>
      </c>
      <c r="K4" s="6" t="s">
        <v>72</v>
      </c>
      <c r="L4" s="6" t="s">
        <v>72</v>
      </c>
      <c r="M4" s="6" t="s">
        <v>72</v>
      </c>
      <c r="N4" s="6">
        <f t="shared" si="0"/>
        <v>5</v>
      </c>
    </row>
    <row r="5" spans="1:19" ht="22.5" customHeight="1" x14ac:dyDescent="0.15">
      <c r="A5" s="10" t="s">
        <v>20</v>
      </c>
      <c r="B5" s="5" t="s">
        <v>12</v>
      </c>
      <c r="C5" s="6" t="s">
        <v>73</v>
      </c>
      <c r="D5" s="6" t="s">
        <v>73</v>
      </c>
      <c r="E5" s="6" t="s">
        <v>72</v>
      </c>
      <c r="F5" s="6" t="s">
        <v>73</v>
      </c>
      <c r="G5" s="6" t="s">
        <v>72</v>
      </c>
      <c r="H5" s="6" t="s">
        <v>73</v>
      </c>
      <c r="I5" s="6" t="s">
        <v>73</v>
      </c>
      <c r="J5" s="6" t="s">
        <v>73</v>
      </c>
      <c r="K5" s="6" t="s">
        <v>73</v>
      </c>
      <c r="L5" s="6" t="s">
        <v>73</v>
      </c>
      <c r="M5" s="6" t="s">
        <v>72</v>
      </c>
      <c r="N5" s="6">
        <f t="shared" si="0"/>
        <v>3</v>
      </c>
    </row>
    <row r="6" spans="1:19" ht="22.5" customHeight="1" x14ac:dyDescent="0.15">
      <c r="A6" s="10" t="s">
        <v>23</v>
      </c>
      <c r="B6" s="5" t="s">
        <v>12</v>
      </c>
      <c r="C6" s="6" t="s">
        <v>73</v>
      </c>
      <c r="D6" s="6" t="s">
        <v>72</v>
      </c>
      <c r="E6" s="6" t="s">
        <v>72</v>
      </c>
      <c r="F6" s="6" t="s">
        <v>73</v>
      </c>
      <c r="G6" s="6" t="s">
        <v>73</v>
      </c>
      <c r="H6" s="6" t="s">
        <v>73</v>
      </c>
      <c r="I6" s="6" t="s">
        <v>72</v>
      </c>
      <c r="J6" s="6" t="s">
        <v>73</v>
      </c>
      <c r="K6" s="6" t="s">
        <v>72</v>
      </c>
      <c r="L6" s="6" t="s">
        <v>72</v>
      </c>
      <c r="M6" s="6" t="s">
        <v>72</v>
      </c>
      <c r="N6" s="6">
        <f t="shared" si="0"/>
        <v>6</v>
      </c>
    </row>
    <row r="7" spans="1:19" ht="22.5" customHeight="1" x14ac:dyDescent="0.15">
      <c r="A7" s="10" t="s">
        <v>26</v>
      </c>
      <c r="B7" s="5" t="s">
        <v>12</v>
      </c>
      <c r="C7" s="6" t="s">
        <v>73</v>
      </c>
      <c r="D7" s="6" t="s">
        <v>73</v>
      </c>
      <c r="E7" s="6" t="s">
        <v>73</v>
      </c>
      <c r="F7" s="6" t="s">
        <v>73</v>
      </c>
      <c r="G7" s="6" t="s">
        <v>72</v>
      </c>
      <c r="H7" s="6" t="s">
        <v>73</v>
      </c>
      <c r="I7" s="6" t="s">
        <v>73</v>
      </c>
      <c r="J7" s="6" t="s">
        <v>72</v>
      </c>
      <c r="K7" s="6" t="s">
        <v>72</v>
      </c>
      <c r="L7" s="6" t="s">
        <v>72</v>
      </c>
      <c r="M7" s="6" t="s">
        <v>73</v>
      </c>
      <c r="N7" s="6">
        <f t="shared" si="0"/>
        <v>4</v>
      </c>
    </row>
    <row r="8" spans="1:19" ht="22.5" customHeight="1" x14ac:dyDescent="0.15">
      <c r="A8" s="4" t="s">
        <v>28</v>
      </c>
      <c r="B8" s="5" t="s">
        <v>12</v>
      </c>
      <c r="C8" s="6" t="s">
        <v>72</v>
      </c>
      <c r="D8" s="6" t="s">
        <v>73</v>
      </c>
      <c r="E8" s="6" t="s">
        <v>73</v>
      </c>
      <c r="F8" s="6" t="s">
        <v>73</v>
      </c>
      <c r="G8" s="6" t="s">
        <v>72</v>
      </c>
      <c r="H8" s="6" t="s">
        <v>73</v>
      </c>
      <c r="I8" s="6" t="s">
        <v>72</v>
      </c>
      <c r="J8" s="6" t="s">
        <v>73</v>
      </c>
      <c r="K8" s="6" t="s">
        <v>73</v>
      </c>
      <c r="L8" s="6" t="s">
        <v>73</v>
      </c>
      <c r="M8" s="6" t="s">
        <v>72</v>
      </c>
      <c r="N8" s="6">
        <f t="shared" si="0"/>
        <v>4</v>
      </c>
    </row>
    <row r="9" spans="1:19" ht="22.5" customHeight="1" x14ac:dyDescent="0.15">
      <c r="A9" s="4" t="s">
        <v>31</v>
      </c>
      <c r="B9" s="5" t="s">
        <v>12</v>
      </c>
      <c r="C9" s="6" t="s">
        <v>73</v>
      </c>
      <c r="D9" s="6" t="s">
        <v>72</v>
      </c>
      <c r="E9" s="6" t="s">
        <v>73</v>
      </c>
      <c r="F9" s="6" t="s">
        <v>73</v>
      </c>
      <c r="G9" s="6" t="s">
        <v>72</v>
      </c>
      <c r="H9" s="6" t="s">
        <v>72</v>
      </c>
      <c r="I9" s="6" t="s">
        <v>73</v>
      </c>
      <c r="J9" s="6" t="s">
        <v>72</v>
      </c>
      <c r="K9" s="6" t="s">
        <v>72</v>
      </c>
      <c r="L9" s="6" t="s">
        <v>73</v>
      </c>
      <c r="M9" s="6" t="s">
        <v>73</v>
      </c>
      <c r="N9" s="6">
        <f t="shared" si="0"/>
        <v>5</v>
      </c>
    </row>
    <row r="10" spans="1:19" ht="22.5" customHeight="1" x14ac:dyDescent="0.15">
      <c r="A10" s="4" t="s">
        <v>34</v>
      </c>
      <c r="B10" s="5" t="s">
        <v>12</v>
      </c>
      <c r="C10" s="6" t="s">
        <v>72</v>
      </c>
      <c r="D10" s="6" t="s">
        <v>73</v>
      </c>
      <c r="E10" s="6" t="s">
        <v>72</v>
      </c>
      <c r="F10" s="6" t="s">
        <v>72</v>
      </c>
      <c r="G10" s="6" t="s">
        <v>72</v>
      </c>
      <c r="H10" s="6" t="s">
        <v>72</v>
      </c>
      <c r="I10" s="6" t="s">
        <v>72</v>
      </c>
      <c r="J10" s="6" t="s">
        <v>72</v>
      </c>
      <c r="K10" s="6" t="s">
        <v>73</v>
      </c>
      <c r="L10" s="6" t="s">
        <v>73</v>
      </c>
      <c r="M10" s="6" t="s">
        <v>72</v>
      </c>
      <c r="N10" s="6">
        <f t="shared" si="0"/>
        <v>8</v>
      </c>
    </row>
    <row r="11" spans="1:19" ht="22.5" customHeight="1" x14ac:dyDescent="0.15">
      <c r="A11" s="10" t="s">
        <v>36</v>
      </c>
      <c r="B11" s="5" t="s">
        <v>12</v>
      </c>
      <c r="C11" s="6" t="s">
        <v>73</v>
      </c>
      <c r="D11" s="6" t="s">
        <v>73</v>
      </c>
      <c r="E11" s="6" t="s">
        <v>73</v>
      </c>
      <c r="F11" s="6" t="s">
        <v>73</v>
      </c>
      <c r="G11" s="6" t="s">
        <v>73</v>
      </c>
      <c r="H11" s="6" t="s">
        <v>73</v>
      </c>
      <c r="I11" s="6" t="s">
        <v>73</v>
      </c>
      <c r="J11" s="6" t="s">
        <v>73</v>
      </c>
      <c r="K11" s="6" t="s">
        <v>73</v>
      </c>
      <c r="L11" s="6" t="s">
        <v>73</v>
      </c>
      <c r="M11" s="6" t="s">
        <v>73</v>
      </c>
      <c r="N11" s="6">
        <f t="shared" si="0"/>
        <v>0</v>
      </c>
    </row>
    <row r="12" spans="1:19" ht="22.5" customHeight="1" x14ac:dyDescent="0.15">
      <c r="A12" s="10" t="s">
        <v>38</v>
      </c>
      <c r="B12" s="5" t="s">
        <v>12</v>
      </c>
      <c r="C12" s="6" t="s">
        <v>73</v>
      </c>
      <c r="D12" s="6" t="s">
        <v>73</v>
      </c>
      <c r="E12" s="6" t="s">
        <v>73</v>
      </c>
      <c r="F12" s="6" t="s">
        <v>72</v>
      </c>
      <c r="G12" s="6" t="s">
        <v>72</v>
      </c>
      <c r="H12" s="6" t="s">
        <v>73</v>
      </c>
      <c r="I12" s="6" t="s">
        <v>73</v>
      </c>
      <c r="J12" s="6" t="s">
        <v>73</v>
      </c>
      <c r="K12" s="6" t="s">
        <v>72</v>
      </c>
      <c r="L12" s="6" t="s">
        <v>72</v>
      </c>
      <c r="M12" s="6" t="s">
        <v>72</v>
      </c>
      <c r="N12" s="6">
        <f t="shared" si="0"/>
        <v>5</v>
      </c>
    </row>
    <row r="13" spans="1:19" ht="22.5" customHeight="1" x14ac:dyDescent="0.15">
      <c r="A13" s="4" t="s">
        <v>41</v>
      </c>
      <c r="B13" s="5" t="s">
        <v>12</v>
      </c>
      <c r="C13" s="6" t="s">
        <v>73</v>
      </c>
      <c r="D13" s="6" t="s">
        <v>72</v>
      </c>
      <c r="E13" s="6" t="s">
        <v>73</v>
      </c>
      <c r="F13" s="6" t="s">
        <v>72</v>
      </c>
      <c r="G13" s="6" t="s">
        <v>72</v>
      </c>
      <c r="H13" s="6" t="s">
        <v>73</v>
      </c>
      <c r="I13" s="6" t="s">
        <v>73</v>
      </c>
      <c r="J13" s="6" t="s">
        <v>73</v>
      </c>
      <c r="K13" s="6" t="s">
        <v>73</v>
      </c>
      <c r="L13" s="6" t="s">
        <v>73</v>
      </c>
      <c r="M13" s="6" t="s">
        <v>72</v>
      </c>
      <c r="N13" s="6">
        <f t="shared" si="0"/>
        <v>4</v>
      </c>
    </row>
    <row r="14" spans="1:19" ht="22.5" customHeight="1" x14ac:dyDescent="0.15">
      <c r="A14" s="4" t="s">
        <v>44</v>
      </c>
      <c r="B14" s="5" t="s">
        <v>12</v>
      </c>
      <c r="C14" s="6" t="s">
        <v>73</v>
      </c>
      <c r="D14" s="6" t="s">
        <v>72</v>
      </c>
      <c r="E14" s="6" t="s">
        <v>72</v>
      </c>
      <c r="F14" s="6" t="s">
        <v>72</v>
      </c>
      <c r="G14" s="6" t="s">
        <v>73</v>
      </c>
      <c r="H14" s="6" t="s">
        <v>72</v>
      </c>
      <c r="I14" s="6" t="s">
        <v>72</v>
      </c>
      <c r="J14" s="6" t="s">
        <v>73</v>
      </c>
      <c r="K14" s="6" t="s">
        <v>72</v>
      </c>
      <c r="L14" s="6" t="s">
        <v>73</v>
      </c>
      <c r="M14" s="6" t="s">
        <v>72</v>
      </c>
      <c r="N14" s="6">
        <f t="shared" si="0"/>
        <v>7</v>
      </c>
    </row>
    <row r="15" spans="1:19" ht="22.5" customHeight="1" x14ac:dyDescent="0.15">
      <c r="A15" s="10" t="s">
        <v>47</v>
      </c>
      <c r="B15" s="5" t="s">
        <v>12</v>
      </c>
      <c r="C15" s="6" t="s">
        <v>73</v>
      </c>
      <c r="D15" s="6" t="s">
        <v>73</v>
      </c>
      <c r="E15" s="6" t="s">
        <v>73</v>
      </c>
      <c r="F15" s="6" t="s">
        <v>73</v>
      </c>
      <c r="G15" s="6" t="s">
        <v>72</v>
      </c>
      <c r="H15" s="6" t="s">
        <v>72</v>
      </c>
      <c r="I15" s="6" t="s">
        <v>72</v>
      </c>
      <c r="J15" s="6" t="s">
        <v>72</v>
      </c>
      <c r="K15" s="6" t="s">
        <v>73</v>
      </c>
      <c r="L15" s="6" t="s">
        <v>73</v>
      </c>
      <c r="M15" s="6" t="s">
        <v>73</v>
      </c>
      <c r="N15" s="6">
        <f t="shared" si="0"/>
        <v>4</v>
      </c>
    </row>
    <row r="16" spans="1:19" ht="22.5" customHeight="1" x14ac:dyDescent="0.15">
      <c r="A16" s="10" t="s">
        <v>49</v>
      </c>
      <c r="B16" s="5" t="s">
        <v>12</v>
      </c>
      <c r="C16" s="6" t="s">
        <v>73</v>
      </c>
      <c r="D16" s="6" t="s">
        <v>72</v>
      </c>
      <c r="E16" s="6" t="s">
        <v>72</v>
      </c>
      <c r="F16" s="6" t="s">
        <v>72</v>
      </c>
      <c r="G16" s="6" t="s">
        <v>72</v>
      </c>
      <c r="H16" s="6" t="s">
        <v>73</v>
      </c>
      <c r="I16" s="6" t="s">
        <v>73</v>
      </c>
      <c r="J16" s="6" t="s">
        <v>72</v>
      </c>
      <c r="K16" s="6" t="s">
        <v>72</v>
      </c>
      <c r="L16" s="6" t="s">
        <v>73</v>
      </c>
      <c r="M16" s="6" t="s">
        <v>73</v>
      </c>
      <c r="N16" s="6">
        <f t="shared" si="0"/>
        <v>6</v>
      </c>
    </row>
    <row r="17" spans="1:14" ht="22.5" customHeight="1" x14ac:dyDescent="0.15">
      <c r="A17" s="10" t="s">
        <v>51</v>
      </c>
      <c r="B17" s="5" t="s">
        <v>12</v>
      </c>
      <c r="C17" s="6" t="s">
        <v>73</v>
      </c>
      <c r="D17" s="6" t="s">
        <v>73</v>
      </c>
      <c r="E17" s="6" t="s">
        <v>72</v>
      </c>
      <c r="F17" s="6" t="s">
        <v>72</v>
      </c>
      <c r="G17" s="6" t="s">
        <v>72</v>
      </c>
      <c r="H17" s="6" t="s">
        <v>72</v>
      </c>
      <c r="I17" s="6" t="s">
        <v>72</v>
      </c>
      <c r="J17" s="6" t="s">
        <v>73</v>
      </c>
      <c r="K17" s="6" t="s">
        <v>72</v>
      </c>
      <c r="L17" s="6" t="s">
        <v>72</v>
      </c>
      <c r="M17" s="6" t="s">
        <v>72</v>
      </c>
      <c r="N17" s="6">
        <f t="shared" si="0"/>
        <v>8</v>
      </c>
    </row>
    <row r="18" spans="1:14" ht="22.5" customHeight="1" x14ac:dyDescent="0.15">
      <c r="A18" s="4" t="s">
        <v>53</v>
      </c>
      <c r="B18" s="5" t="s">
        <v>12</v>
      </c>
      <c r="C18" s="6" t="s">
        <v>73</v>
      </c>
      <c r="D18" s="6" t="s">
        <v>72</v>
      </c>
      <c r="E18" s="6" t="s">
        <v>72</v>
      </c>
      <c r="F18" s="6" t="s">
        <v>72</v>
      </c>
      <c r="G18" s="6" t="s">
        <v>73</v>
      </c>
      <c r="H18" s="6" t="s">
        <v>72</v>
      </c>
      <c r="I18" s="6" t="s">
        <v>72</v>
      </c>
      <c r="J18" s="6" t="s">
        <v>73</v>
      </c>
      <c r="K18" s="6" t="s">
        <v>72</v>
      </c>
      <c r="L18" s="6" t="s">
        <v>72</v>
      </c>
      <c r="M18" s="6" t="s">
        <v>72</v>
      </c>
      <c r="N18" s="6">
        <f t="shared" si="0"/>
        <v>8</v>
      </c>
    </row>
    <row r="19" spans="1:14" ht="22.5" customHeight="1" x14ac:dyDescent="0.15">
      <c r="A19" s="10" t="s">
        <v>56</v>
      </c>
      <c r="B19" s="5" t="s">
        <v>12</v>
      </c>
      <c r="C19" s="6" t="s">
        <v>73</v>
      </c>
      <c r="D19" s="6" t="s">
        <v>73</v>
      </c>
      <c r="E19" s="6" t="s">
        <v>72</v>
      </c>
      <c r="F19" s="6" t="s">
        <v>73</v>
      </c>
      <c r="G19" s="6" t="s">
        <v>72</v>
      </c>
      <c r="H19" s="6" t="s">
        <v>73</v>
      </c>
      <c r="I19" s="6" t="s">
        <v>72</v>
      </c>
      <c r="J19" s="6" t="s">
        <v>73</v>
      </c>
      <c r="K19" s="6" t="s">
        <v>72</v>
      </c>
      <c r="L19" s="6" t="s">
        <v>73</v>
      </c>
      <c r="M19" s="6" t="s">
        <v>72</v>
      </c>
      <c r="N19" s="6">
        <f t="shared" si="0"/>
        <v>5</v>
      </c>
    </row>
  </sheetData>
  <conditionalFormatting sqref="C2:M19">
    <cfRule type="cellIs" dxfId="2" priority="1" operator="equal">
      <formula>"Open"</formula>
    </cfRule>
    <cfRule type="cellIs" dxfId="1" priority="2" operator="equal">
      <formula>"Thin"</formula>
    </cfRule>
    <cfRule type="cellIs" dxfId="0" priority="3" operator="equal">
      <formula>"Covered"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9"/>
  <sheetViews>
    <sheetView workbookViewId="0"/>
  </sheetViews>
  <sheetFormatPr baseColWidth="10" defaultColWidth="12.6640625" defaultRowHeight="15.75" customHeight="1" x14ac:dyDescent="0.15"/>
  <cols>
    <col min="1" max="1" width="4.5" customWidth="1"/>
    <col min="2" max="2" width="25.1640625" customWidth="1"/>
    <col min="3" max="4" width="14.6640625" customWidth="1"/>
    <col min="5" max="5" width="13" customWidth="1"/>
    <col min="6" max="6" width="14.6640625" customWidth="1"/>
    <col min="8" max="8" width="13.5" customWidth="1"/>
    <col min="9" max="9" width="13.83203125" customWidth="1"/>
    <col min="10" max="10" width="13.6640625" customWidth="1"/>
    <col min="11" max="11" width="13.33203125" customWidth="1"/>
    <col min="12" max="12" width="12.6640625" customWidth="1"/>
    <col min="13" max="13" width="13.5" customWidth="1"/>
  </cols>
  <sheetData>
    <row r="1" spans="1:13" ht="15.75" customHeight="1" x14ac:dyDescent="0.15">
      <c r="A1" s="14"/>
      <c r="B1" s="15" t="s">
        <v>74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 customHeight="1" x14ac:dyDescent="0.15">
      <c r="A2" s="14"/>
      <c r="B2" s="14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.75" customHeight="1" x14ac:dyDescent="0.15">
      <c r="A3" s="14"/>
      <c r="B3" s="17" t="s">
        <v>75</v>
      </c>
      <c r="C3" s="18" t="s">
        <v>60</v>
      </c>
      <c r="D3" s="18" t="s">
        <v>61</v>
      </c>
      <c r="E3" s="18" t="s">
        <v>62</v>
      </c>
      <c r="F3" s="18" t="s">
        <v>63</v>
      </c>
      <c r="G3" s="18" t="s">
        <v>64</v>
      </c>
      <c r="H3" s="19" t="s">
        <v>65</v>
      </c>
      <c r="I3" s="19" t="s">
        <v>66</v>
      </c>
      <c r="J3" s="19" t="s">
        <v>67</v>
      </c>
      <c r="K3" s="18" t="s">
        <v>68</v>
      </c>
      <c r="L3" s="18" t="s">
        <v>69</v>
      </c>
      <c r="M3" s="20" t="s">
        <v>70</v>
      </c>
    </row>
    <row r="4" spans="1:13" ht="15.75" customHeight="1" x14ac:dyDescent="0.15">
      <c r="A4" s="14"/>
      <c r="B4" s="21" t="s">
        <v>76</v>
      </c>
      <c r="C4" s="22" t="s">
        <v>77</v>
      </c>
      <c r="D4" s="22" t="s">
        <v>78</v>
      </c>
      <c r="E4" s="23" t="s">
        <v>79</v>
      </c>
      <c r="F4" s="22" t="s">
        <v>80</v>
      </c>
      <c r="G4" s="23" t="s">
        <v>81</v>
      </c>
      <c r="H4" s="24" t="s">
        <v>82</v>
      </c>
      <c r="I4" s="24" t="s">
        <v>83</v>
      </c>
      <c r="J4" s="24"/>
      <c r="K4" s="25" t="s">
        <v>84</v>
      </c>
      <c r="L4" s="22" t="s">
        <v>85</v>
      </c>
      <c r="M4" s="26" t="s">
        <v>86</v>
      </c>
    </row>
    <row r="5" spans="1:13" ht="15.75" customHeight="1" x14ac:dyDescent="0.15">
      <c r="B5" s="27">
        <v>433</v>
      </c>
      <c r="C5" s="23" t="s">
        <v>87</v>
      </c>
      <c r="D5" s="24" t="s">
        <v>88</v>
      </c>
      <c r="E5" s="23" t="s">
        <v>89</v>
      </c>
      <c r="G5" s="24" t="s">
        <v>90</v>
      </c>
      <c r="H5" s="24" t="s">
        <v>91</v>
      </c>
      <c r="I5" s="24" t="s">
        <v>92</v>
      </c>
      <c r="J5" s="24"/>
      <c r="K5" s="24"/>
      <c r="L5" s="24" t="s">
        <v>93</v>
      </c>
      <c r="M5" s="28" t="s">
        <v>94</v>
      </c>
    </row>
    <row r="6" spans="1:13" ht="15.75" customHeight="1" x14ac:dyDescent="0.15">
      <c r="B6" s="27"/>
      <c r="C6" s="23" t="s">
        <v>95</v>
      </c>
      <c r="D6" s="24"/>
      <c r="E6" s="23" t="s">
        <v>96</v>
      </c>
      <c r="G6" s="24"/>
      <c r="H6" s="24" t="s">
        <v>97</v>
      </c>
      <c r="I6" s="24"/>
      <c r="J6" s="24"/>
      <c r="K6" s="24"/>
      <c r="L6" s="24" t="s">
        <v>98</v>
      </c>
      <c r="M6" s="28" t="s">
        <v>99</v>
      </c>
    </row>
    <row r="7" spans="1:13" ht="15.75" customHeight="1" x14ac:dyDescent="0.15">
      <c r="B7" s="27"/>
      <c r="D7" s="24"/>
      <c r="E7" s="23" t="s">
        <v>100</v>
      </c>
      <c r="G7" s="24"/>
      <c r="H7" s="24"/>
      <c r="I7" s="24"/>
      <c r="K7" s="24"/>
      <c r="M7" s="26" t="s">
        <v>101</v>
      </c>
    </row>
    <row r="8" spans="1:13" ht="15.75" customHeight="1" x14ac:dyDescent="0.15">
      <c r="A8" s="14"/>
      <c r="B8" s="17" t="s">
        <v>102</v>
      </c>
      <c r="C8" s="19" t="s">
        <v>60</v>
      </c>
      <c r="D8" s="19" t="s">
        <v>61</v>
      </c>
      <c r="E8" s="18" t="s">
        <v>62</v>
      </c>
      <c r="F8" s="18" t="s">
        <v>63</v>
      </c>
      <c r="G8" s="19" t="s">
        <v>64</v>
      </c>
      <c r="H8" s="18" t="s">
        <v>65</v>
      </c>
      <c r="I8" s="18" t="s">
        <v>66</v>
      </c>
      <c r="J8" s="19" t="s">
        <v>67</v>
      </c>
      <c r="K8" s="18" t="s">
        <v>68</v>
      </c>
      <c r="L8" s="18" t="s">
        <v>69</v>
      </c>
      <c r="M8" s="20" t="s">
        <v>70</v>
      </c>
    </row>
    <row r="9" spans="1:13" ht="15.75" customHeight="1" x14ac:dyDescent="0.15">
      <c r="A9" s="14"/>
      <c r="B9" s="21" t="s">
        <v>103</v>
      </c>
      <c r="C9" s="24" t="s">
        <v>104</v>
      </c>
      <c r="D9" s="23" t="s">
        <v>105</v>
      </c>
      <c r="E9" s="23" t="s">
        <v>106</v>
      </c>
      <c r="F9" s="24" t="s">
        <v>107</v>
      </c>
      <c r="G9" s="24" t="s">
        <v>108</v>
      </c>
      <c r="H9" s="24" t="s">
        <v>109</v>
      </c>
      <c r="I9" s="23" t="s">
        <v>110</v>
      </c>
      <c r="J9" s="24"/>
      <c r="K9" s="24" t="s">
        <v>111</v>
      </c>
      <c r="L9" s="22" t="s">
        <v>112</v>
      </c>
      <c r="M9" s="26" t="s">
        <v>113</v>
      </c>
    </row>
    <row r="10" spans="1:13" ht="15.75" customHeight="1" x14ac:dyDescent="0.15">
      <c r="B10" s="27">
        <v>343</v>
      </c>
      <c r="C10" s="23" t="s">
        <v>114</v>
      </c>
      <c r="D10" s="24" t="s">
        <v>115</v>
      </c>
      <c r="E10" s="25" t="s">
        <v>116</v>
      </c>
      <c r="F10" s="24"/>
      <c r="G10" s="24" t="s">
        <v>117</v>
      </c>
      <c r="H10" s="24" t="s">
        <v>118</v>
      </c>
      <c r="I10" s="24" t="s">
        <v>119</v>
      </c>
      <c r="J10" s="24"/>
      <c r="K10" s="24" t="s">
        <v>120</v>
      </c>
      <c r="L10" s="24" t="s">
        <v>121</v>
      </c>
      <c r="M10" s="28" t="s">
        <v>122</v>
      </c>
    </row>
    <row r="11" spans="1:13" ht="15.75" customHeight="1" x14ac:dyDescent="0.15">
      <c r="B11" s="27"/>
      <c r="C11" s="22" t="s">
        <v>123</v>
      </c>
      <c r="D11" s="24" t="s">
        <v>124</v>
      </c>
      <c r="E11" s="24" t="s">
        <v>125</v>
      </c>
      <c r="F11" s="24"/>
      <c r="G11" s="24"/>
      <c r="I11" s="24"/>
      <c r="J11" s="24"/>
      <c r="K11" s="22" t="s">
        <v>126</v>
      </c>
      <c r="L11" s="22" t="s">
        <v>127</v>
      </c>
      <c r="M11" s="26" t="s">
        <v>128</v>
      </c>
    </row>
    <row r="12" spans="1:13" ht="15.75" customHeight="1" x14ac:dyDescent="0.15">
      <c r="B12" s="27"/>
      <c r="C12" s="24" t="s">
        <v>129</v>
      </c>
      <c r="E12" s="24" t="s">
        <v>130</v>
      </c>
      <c r="F12" s="24"/>
      <c r="G12" s="24"/>
      <c r="I12" s="24"/>
      <c r="J12" s="24"/>
      <c r="K12" s="23" t="s">
        <v>81</v>
      </c>
      <c r="L12" s="24"/>
      <c r="M12" s="29"/>
    </row>
    <row r="13" spans="1:13" ht="15.75" customHeight="1" x14ac:dyDescent="0.15">
      <c r="A13" s="14"/>
      <c r="B13" s="17" t="s">
        <v>102</v>
      </c>
      <c r="C13" s="19" t="s">
        <v>60</v>
      </c>
      <c r="D13" s="18" t="s">
        <v>61</v>
      </c>
      <c r="E13" s="19" t="s">
        <v>62</v>
      </c>
      <c r="F13" s="19" t="s">
        <v>63</v>
      </c>
      <c r="G13" s="19" t="s">
        <v>64</v>
      </c>
      <c r="H13" s="18" t="s">
        <v>65</v>
      </c>
      <c r="I13" s="19" t="s">
        <v>66</v>
      </c>
      <c r="J13" s="19" t="s">
        <v>67</v>
      </c>
      <c r="K13" s="18" t="s">
        <v>68</v>
      </c>
      <c r="L13" s="18" t="s">
        <v>69</v>
      </c>
      <c r="M13" s="20" t="s">
        <v>70</v>
      </c>
    </row>
    <row r="14" spans="1:13" ht="15.75" customHeight="1" x14ac:dyDescent="0.15">
      <c r="A14" s="14"/>
      <c r="B14" s="21" t="s">
        <v>131</v>
      </c>
      <c r="C14" s="22" t="s">
        <v>132</v>
      </c>
      <c r="D14" s="23" t="s">
        <v>133</v>
      </c>
      <c r="E14" s="24" t="s">
        <v>134</v>
      </c>
      <c r="F14" s="24" t="s">
        <v>135</v>
      </c>
      <c r="G14" s="24" t="s">
        <v>136</v>
      </c>
      <c r="H14" s="25" t="s">
        <v>137</v>
      </c>
      <c r="I14" s="24" t="s">
        <v>138</v>
      </c>
      <c r="J14" s="23" t="s">
        <v>139</v>
      </c>
      <c r="K14" s="22" t="s">
        <v>140</v>
      </c>
      <c r="L14" s="23" t="s">
        <v>141</v>
      </c>
      <c r="M14" s="30" t="s">
        <v>142</v>
      </c>
    </row>
    <row r="15" spans="1:13" ht="15.75" customHeight="1" x14ac:dyDescent="0.15">
      <c r="B15" s="27">
        <v>433</v>
      </c>
      <c r="C15" s="23" t="s">
        <v>143</v>
      </c>
      <c r="D15" s="22" t="s">
        <v>144</v>
      </c>
      <c r="E15" s="24" t="s">
        <v>145</v>
      </c>
      <c r="F15" s="24" t="s">
        <v>146</v>
      </c>
      <c r="G15" s="24" t="s">
        <v>147</v>
      </c>
      <c r="H15" s="24"/>
      <c r="I15" s="24" t="s">
        <v>148</v>
      </c>
      <c r="J15" s="24" t="s">
        <v>149</v>
      </c>
      <c r="K15" s="24" t="s">
        <v>150</v>
      </c>
      <c r="L15" s="24" t="s">
        <v>151</v>
      </c>
      <c r="M15" s="29" t="s">
        <v>152</v>
      </c>
    </row>
    <row r="16" spans="1:13" ht="15.75" customHeight="1" x14ac:dyDescent="0.15">
      <c r="B16" s="27"/>
      <c r="C16" s="24" t="s">
        <v>153</v>
      </c>
      <c r="E16" s="24" t="s">
        <v>154</v>
      </c>
      <c r="G16" s="24"/>
      <c r="I16" s="24" t="s">
        <v>155</v>
      </c>
      <c r="J16" s="24" t="s">
        <v>156</v>
      </c>
      <c r="K16" s="24" t="s">
        <v>157</v>
      </c>
      <c r="L16" s="24"/>
      <c r="M16" s="29"/>
    </row>
    <row r="17" spans="1:13" ht="15.75" customHeight="1" x14ac:dyDescent="0.15">
      <c r="B17" s="27"/>
      <c r="C17" s="23" t="s">
        <v>158</v>
      </c>
      <c r="E17" s="24"/>
      <c r="G17" s="24"/>
      <c r="I17" s="23" t="s">
        <v>159</v>
      </c>
      <c r="J17" s="24"/>
      <c r="K17" s="24"/>
      <c r="L17" s="24"/>
      <c r="M17" s="29"/>
    </row>
    <row r="18" spans="1:13" ht="15.75" customHeight="1" x14ac:dyDescent="0.15">
      <c r="B18" s="27"/>
      <c r="E18" s="24"/>
      <c r="G18" s="24"/>
      <c r="I18" s="24" t="s">
        <v>160</v>
      </c>
      <c r="J18" s="24"/>
      <c r="K18" s="24"/>
      <c r="L18" s="24"/>
      <c r="M18" s="29"/>
    </row>
    <row r="19" spans="1:13" ht="15.75" customHeight="1" x14ac:dyDescent="0.15">
      <c r="B19" s="27"/>
      <c r="C19" s="24"/>
      <c r="E19" s="24"/>
      <c r="G19" s="24"/>
      <c r="I19" s="23" t="s">
        <v>161</v>
      </c>
      <c r="J19" s="24"/>
      <c r="K19" s="24"/>
      <c r="L19" s="24"/>
      <c r="M19" s="29"/>
    </row>
    <row r="20" spans="1:13" ht="15.75" customHeight="1" x14ac:dyDescent="0.15">
      <c r="A20" s="14"/>
      <c r="B20" s="17" t="s">
        <v>102</v>
      </c>
      <c r="C20" s="19" t="s">
        <v>60</v>
      </c>
      <c r="D20" s="19" t="s">
        <v>61</v>
      </c>
      <c r="E20" s="18" t="s">
        <v>62</v>
      </c>
      <c r="F20" s="19" t="s">
        <v>63</v>
      </c>
      <c r="G20" s="18" t="s">
        <v>64</v>
      </c>
      <c r="H20" s="19" t="s">
        <v>65</v>
      </c>
      <c r="I20" s="19" t="s">
        <v>66</v>
      </c>
      <c r="J20" s="19" t="s">
        <v>67</v>
      </c>
      <c r="K20" s="19" t="s">
        <v>68</v>
      </c>
      <c r="L20" s="19" t="s">
        <v>69</v>
      </c>
      <c r="M20" s="20" t="s">
        <v>70</v>
      </c>
    </row>
    <row r="21" spans="1:13" ht="15.75" customHeight="1" x14ac:dyDescent="0.15">
      <c r="A21" s="14"/>
      <c r="B21" s="21" t="s">
        <v>162</v>
      </c>
      <c r="C21" s="24" t="s">
        <v>163</v>
      </c>
      <c r="D21" s="24" t="s">
        <v>149</v>
      </c>
      <c r="E21" s="25" t="s">
        <v>164</v>
      </c>
      <c r="F21" s="24" t="s">
        <v>165</v>
      </c>
      <c r="G21" s="22" t="s">
        <v>166</v>
      </c>
      <c r="H21" s="24" t="s">
        <v>167</v>
      </c>
      <c r="I21" s="24" t="s">
        <v>168</v>
      </c>
      <c r="J21" s="24" t="s">
        <v>169</v>
      </c>
      <c r="K21" s="24" t="s">
        <v>170</v>
      </c>
      <c r="L21" s="24" t="s">
        <v>171</v>
      </c>
      <c r="M21" s="24" t="s">
        <v>172</v>
      </c>
    </row>
    <row r="22" spans="1:13" ht="15.75" customHeight="1" x14ac:dyDescent="0.15">
      <c r="B22" s="27">
        <v>433</v>
      </c>
      <c r="C22" s="24" t="s">
        <v>173</v>
      </c>
      <c r="D22" s="24" t="s">
        <v>174</v>
      </c>
      <c r="E22" s="23" t="s">
        <v>175</v>
      </c>
      <c r="G22" s="24" t="s">
        <v>176</v>
      </c>
      <c r="H22" s="24" t="s">
        <v>177</v>
      </c>
      <c r="I22" s="24" t="s">
        <v>178</v>
      </c>
      <c r="K22" s="24" t="s">
        <v>179</v>
      </c>
      <c r="L22" s="24" t="s">
        <v>180</v>
      </c>
      <c r="M22" s="26" t="s">
        <v>181</v>
      </c>
    </row>
    <row r="23" spans="1:13" ht="15.75" customHeight="1" x14ac:dyDescent="0.15">
      <c r="B23" s="27"/>
      <c r="C23" s="24" t="s">
        <v>182</v>
      </c>
      <c r="D23" s="24"/>
      <c r="E23" s="22" t="s">
        <v>183</v>
      </c>
      <c r="I23" s="24" t="s">
        <v>184</v>
      </c>
      <c r="J23" s="24"/>
      <c r="K23" s="24" t="s">
        <v>185</v>
      </c>
      <c r="M23" s="28" t="s">
        <v>186</v>
      </c>
    </row>
    <row r="24" spans="1:13" ht="15.75" customHeight="1" x14ac:dyDescent="0.15">
      <c r="B24" s="27"/>
      <c r="C24" s="24"/>
      <c r="E24" s="24" t="s">
        <v>187</v>
      </c>
      <c r="I24" s="24"/>
      <c r="M24" s="29" t="s">
        <v>188</v>
      </c>
    </row>
    <row r="25" spans="1:13" ht="15.75" customHeight="1" x14ac:dyDescent="0.15">
      <c r="B25" s="27"/>
      <c r="C25" s="24"/>
      <c r="E25" s="24"/>
      <c r="M25" s="29"/>
    </row>
    <row r="26" spans="1:13" ht="15.75" customHeight="1" x14ac:dyDescent="0.15">
      <c r="B26" s="17" t="s">
        <v>102</v>
      </c>
      <c r="C26" s="19" t="s">
        <v>60</v>
      </c>
      <c r="D26" s="18" t="s">
        <v>61</v>
      </c>
      <c r="E26" s="18" t="s">
        <v>62</v>
      </c>
      <c r="F26" s="19" t="s">
        <v>63</v>
      </c>
      <c r="G26" s="19" t="s">
        <v>64</v>
      </c>
      <c r="H26" s="19" t="s">
        <v>65</v>
      </c>
      <c r="I26" s="18" t="s">
        <v>66</v>
      </c>
      <c r="J26" s="19" t="s">
        <v>67</v>
      </c>
      <c r="K26" s="18" t="s">
        <v>68</v>
      </c>
      <c r="L26" s="18" t="s">
        <v>69</v>
      </c>
      <c r="M26" s="20" t="s">
        <v>70</v>
      </c>
    </row>
    <row r="27" spans="1:13" ht="15.75" customHeight="1" x14ac:dyDescent="0.15">
      <c r="B27" s="21" t="s">
        <v>189</v>
      </c>
      <c r="C27" s="24" t="s">
        <v>190</v>
      </c>
      <c r="D27" s="23" t="s">
        <v>191</v>
      </c>
      <c r="E27" s="24" t="s">
        <v>192</v>
      </c>
      <c r="F27" s="24" t="s">
        <v>193</v>
      </c>
      <c r="G27" s="23" t="s">
        <v>194</v>
      </c>
      <c r="H27" s="22" t="s">
        <v>195</v>
      </c>
      <c r="I27" s="24" t="s">
        <v>196</v>
      </c>
      <c r="J27" s="24" t="s">
        <v>197</v>
      </c>
      <c r="K27" s="23" t="s">
        <v>198</v>
      </c>
      <c r="L27" s="24" t="s">
        <v>199</v>
      </c>
      <c r="M27" s="22" t="s">
        <v>200</v>
      </c>
    </row>
    <row r="28" spans="1:13" ht="15.75" customHeight="1" x14ac:dyDescent="0.15">
      <c r="B28" s="27">
        <v>541</v>
      </c>
      <c r="C28" s="24" t="s">
        <v>201</v>
      </c>
      <c r="D28" s="23" t="s">
        <v>202</v>
      </c>
      <c r="E28" s="22" t="s">
        <v>203</v>
      </c>
      <c r="F28" s="24"/>
      <c r="G28" s="24" t="s">
        <v>204</v>
      </c>
      <c r="H28" s="24" t="s">
        <v>205</v>
      </c>
      <c r="I28" s="23" t="s">
        <v>206</v>
      </c>
      <c r="J28" s="24" t="s">
        <v>170</v>
      </c>
      <c r="K28" s="24" t="s">
        <v>207</v>
      </c>
      <c r="L28" s="24" t="s">
        <v>208</v>
      </c>
      <c r="M28" s="29"/>
    </row>
    <row r="29" spans="1:13" ht="15.75" customHeight="1" x14ac:dyDescent="0.15">
      <c r="B29" s="27"/>
      <c r="C29" s="23" t="s">
        <v>209</v>
      </c>
      <c r="E29" s="23" t="s">
        <v>210</v>
      </c>
      <c r="G29" s="24" t="s">
        <v>211</v>
      </c>
      <c r="H29" s="24" t="s">
        <v>212</v>
      </c>
      <c r="I29" s="24"/>
      <c r="J29" s="24" t="s">
        <v>213</v>
      </c>
      <c r="L29" s="23" t="s">
        <v>214</v>
      </c>
      <c r="M29" s="29"/>
    </row>
    <row r="30" spans="1:13" ht="15.75" customHeight="1" x14ac:dyDescent="0.15">
      <c r="B30" s="17" t="s">
        <v>102</v>
      </c>
      <c r="C30" s="19" t="s">
        <v>60</v>
      </c>
      <c r="D30" s="19" t="s">
        <v>61</v>
      </c>
      <c r="E30" s="19" t="s">
        <v>62</v>
      </c>
      <c r="F30" s="19" t="s">
        <v>63</v>
      </c>
      <c r="G30" s="18" t="s">
        <v>64</v>
      </c>
      <c r="H30" s="19" t="s">
        <v>65</v>
      </c>
      <c r="I30" s="19" t="s">
        <v>66</v>
      </c>
      <c r="J30" s="18" t="s">
        <v>67</v>
      </c>
      <c r="K30" s="18" t="s">
        <v>68</v>
      </c>
      <c r="L30" s="18" t="s">
        <v>69</v>
      </c>
      <c r="M30" s="31" t="s">
        <v>70</v>
      </c>
    </row>
    <row r="31" spans="1:13" ht="15.75" customHeight="1" x14ac:dyDescent="0.15">
      <c r="B31" s="21" t="s">
        <v>215</v>
      </c>
      <c r="C31" s="23" t="s">
        <v>216</v>
      </c>
      <c r="D31" s="24" t="s">
        <v>217</v>
      </c>
      <c r="E31" s="24" t="s">
        <v>218</v>
      </c>
      <c r="F31" s="24" t="s">
        <v>219</v>
      </c>
      <c r="G31" s="22" t="s">
        <v>220</v>
      </c>
      <c r="H31" s="24" t="s">
        <v>221</v>
      </c>
      <c r="I31" s="23" t="s">
        <v>222</v>
      </c>
      <c r="J31" s="24" t="s">
        <v>223</v>
      </c>
      <c r="K31" s="24" t="s">
        <v>224</v>
      </c>
      <c r="L31" s="23" t="s">
        <v>225</v>
      </c>
      <c r="M31" s="29" t="s">
        <v>226</v>
      </c>
    </row>
    <row r="32" spans="1:13" ht="15.75" customHeight="1" x14ac:dyDescent="0.15">
      <c r="B32" s="27">
        <v>4231</v>
      </c>
      <c r="C32" s="24" t="s">
        <v>227</v>
      </c>
      <c r="D32" s="24" t="s">
        <v>228</v>
      </c>
      <c r="E32" s="22" t="s">
        <v>229</v>
      </c>
      <c r="F32" s="24" t="s">
        <v>230</v>
      </c>
      <c r="G32" s="24" t="s">
        <v>231</v>
      </c>
      <c r="H32" s="24" t="s">
        <v>232</v>
      </c>
      <c r="I32" s="24" t="s">
        <v>233</v>
      </c>
      <c r="J32" s="24"/>
      <c r="K32" s="22" t="s">
        <v>234</v>
      </c>
      <c r="L32" s="25" t="s">
        <v>235</v>
      </c>
      <c r="M32" s="29" t="s">
        <v>236</v>
      </c>
    </row>
    <row r="33" spans="2:13" ht="15.75" customHeight="1" x14ac:dyDescent="0.15">
      <c r="B33" s="27"/>
      <c r="C33" s="24" t="s">
        <v>237</v>
      </c>
      <c r="E33" s="24" t="s">
        <v>238</v>
      </c>
      <c r="F33" s="24" t="s">
        <v>239</v>
      </c>
      <c r="I33" s="24" t="s">
        <v>240</v>
      </c>
      <c r="J33" s="24"/>
      <c r="K33" s="24"/>
      <c r="L33" s="24" t="s">
        <v>241</v>
      </c>
      <c r="M33" s="29" t="s">
        <v>242</v>
      </c>
    </row>
    <row r="34" spans="2:13" ht="15.75" customHeight="1" x14ac:dyDescent="0.15">
      <c r="B34" s="27"/>
      <c r="C34" s="24" t="s">
        <v>243</v>
      </c>
      <c r="D34" s="24"/>
      <c r="E34" s="24" t="s">
        <v>244</v>
      </c>
      <c r="F34" s="24"/>
      <c r="G34" s="24"/>
      <c r="H34" s="24"/>
      <c r="I34" s="24" t="s">
        <v>245</v>
      </c>
      <c r="J34" s="24"/>
      <c r="K34" s="24"/>
      <c r="L34" s="24"/>
      <c r="M34" s="29" t="s">
        <v>246</v>
      </c>
    </row>
    <row r="35" spans="2:13" ht="15.75" customHeight="1" x14ac:dyDescent="0.15">
      <c r="B35" s="27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9" t="s">
        <v>247</v>
      </c>
    </row>
    <row r="36" spans="2:13" ht="15.75" customHeight="1" x14ac:dyDescent="0.15">
      <c r="B36" s="17" t="s">
        <v>102</v>
      </c>
      <c r="C36" s="18" t="s">
        <v>60</v>
      </c>
      <c r="D36" s="19" t="s">
        <v>61</v>
      </c>
      <c r="E36" s="18" t="s">
        <v>62</v>
      </c>
      <c r="F36" s="18" t="s">
        <v>63</v>
      </c>
      <c r="G36" s="18" t="s">
        <v>64</v>
      </c>
      <c r="H36" s="19" t="s">
        <v>65</v>
      </c>
      <c r="I36" s="18" t="s">
        <v>66</v>
      </c>
      <c r="J36" s="19" t="s">
        <v>67</v>
      </c>
      <c r="K36" s="19" t="s">
        <v>68</v>
      </c>
      <c r="L36" s="19" t="s">
        <v>69</v>
      </c>
      <c r="M36" s="20" t="s">
        <v>70</v>
      </c>
    </row>
    <row r="37" spans="2:13" ht="15.75" customHeight="1" x14ac:dyDescent="0.15">
      <c r="B37" s="21" t="s">
        <v>248</v>
      </c>
      <c r="C37" s="22" t="s">
        <v>249</v>
      </c>
      <c r="D37" s="24" t="s">
        <v>250</v>
      </c>
      <c r="E37" s="22" t="s">
        <v>251</v>
      </c>
      <c r="F37" s="25" t="s">
        <v>252</v>
      </c>
      <c r="G37" s="22" t="s">
        <v>253</v>
      </c>
      <c r="H37" s="24" t="s">
        <v>254</v>
      </c>
      <c r="I37" s="22" t="s">
        <v>255</v>
      </c>
      <c r="J37" s="24"/>
      <c r="K37" s="24" t="s">
        <v>256</v>
      </c>
      <c r="L37" s="24" t="s">
        <v>257</v>
      </c>
      <c r="M37" s="28" t="s">
        <v>258</v>
      </c>
    </row>
    <row r="38" spans="2:13" ht="15.75" customHeight="1" x14ac:dyDescent="0.15">
      <c r="B38" s="27">
        <v>343</v>
      </c>
      <c r="C38" s="24" t="s">
        <v>259</v>
      </c>
      <c r="D38" s="24" t="s">
        <v>260</v>
      </c>
      <c r="E38" s="24" t="s">
        <v>261</v>
      </c>
      <c r="F38" s="24" t="s">
        <v>262</v>
      </c>
      <c r="G38" s="24" t="s">
        <v>263</v>
      </c>
      <c r="H38" s="24" t="s">
        <v>264</v>
      </c>
      <c r="I38" s="24" t="s">
        <v>265</v>
      </c>
      <c r="J38" s="24"/>
      <c r="K38" s="22" t="s">
        <v>266</v>
      </c>
      <c r="L38" s="24" t="s">
        <v>267</v>
      </c>
      <c r="M38" s="26" t="s">
        <v>268</v>
      </c>
    </row>
    <row r="39" spans="2:13" ht="15.75" customHeight="1" x14ac:dyDescent="0.15">
      <c r="B39" s="27"/>
      <c r="C39" s="24" t="s">
        <v>269</v>
      </c>
      <c r="D39" s="24"/>
      <c r="E39" s="24" t="s">
        <v>270</v>
      </c>
      <c r="F39" s="24"/>
      <c r="G39" s="24"/>
      <c r="H39" s="22" t="s">
        <v>128</v>
      </c>
      <c r="I39" s="22" t="s">
        <v>271</v>
      </c>
      <c r="J39" s="24"/>
      <c r="K39" s="24" t="s">
        <v>272</v>
      </c>
      <c r="L39" s="24" t="s">
        <v>273</v>
      </c>
      <c r="M39" s="28" t="s">
        <v>274</v>
      </c>
    </row>
    <row r="40" spans="2:13" ht="15.75" customHeight="1" x14ac:dyDescent="0.15">
      <c r="B40" s="27"/>
      <c r="C40" s="23" t="s">
        <v>275</v>
      </c>
      <c r="E40" s="24"/>
      <c r="F40" s="24"/>
      <c r="G40" s="24"/>
      <c r="H40" s="24" t="s">
        <v>276</v>
      </c>
      <c r="J40" s="24"/>
      <c r="K40" s="24"/>
      <c r="M40" s="29" t="s">
        <v>83</v>
      </c>
    </row>
    <row r="41" spans="2:13" ht="15.75" customHeight="1" x14ac:dyDescent="0.15">
      <c r="B41" s="17" t="s">
        <v>102</v>
      </c>
      <c r="C41" s="19" t="s">
        <v>60</v>
      </c>
      <c r="D41" s="18" t="s">
        <v>61</v>
      </c>
      <c r="E41" s="19" t="s">
        <v>62</v>
      </c>
      <c r="F41" s="19" t="s">
        <v>63</v>
      </c>
      <c r="G41" s="18" t="s">
        <v>64</v>
      </c>
      <c r="H41" s="18" t="s">
        <v>65</v>
      </c>
      <c r="I41" s="19" t="s">
        <v>66</v>
      </c>
      <c r="J41" s="18" t="s">
        <v>67</v>
      </c>
      <c r="K41" s="18" t="s">
        <v>68</v>
      </c>
      <c r="L41" s="19" t="s">
        <v>69</v>
      </c>
      <c r="M41" s="31" t="s">
        <v>70</v>
      </c>
    </row>
    <row r="42" spans="2:13" ht="15.75" customHeight="1" x14ac:dyDescent="0.15">
      <c r="B42" s="21" t="s">
        <v>277</v>
      </c>
      <c r="C42" s="23" t="s">
        <v>278</v>
      </c>
      <c r="D42" s="24" t="s">
        <v>279</v>
      </c>
      <c r="E42" s="23" t="s">
        <v>280</v>
      </c>
      <c r="F42" s="24" t="s">
        <v>281</v>
      </c>
      <c r="G42" s="22" t="s">
        <v>282</v>
      </c>
      <c r="I42" s="24" t="s">
        <v>283</v>
      </c>
      <c r="J42" s="25" t="s">
        <v>284</v>
      </c>
      <c r="K42" s="25" t="s">
        <v>285</v>
      </c>
      <c r="L42" s="25" t="s">
        <v>286</v>
      </c>
      <c r="M42" s="24" t="s">
        <v>287</v>
      </c>
    </row>
    <row r="43" spans="2:13" ht="15.75" customHeight="1" x14ac:dyDescent="0.15">
      <c r="B43" s="27">
        <v>4231</v>
      </c>
      <c r="C43" s="24" t="s">
        <v>288</v>
      </c>
      <c r="D43" s="22" t="s">
        <v>203</v>
      </c>
      <c r="E43" s="24" t="s">
        <v>289</v>
      </c>
      <c r="F43" s="24"/>
      <c r="G43" s="24" t="s">
        <v>290</v>
      </c>
      <c r="I43" s="24" t="s">
        <v>291</v>
      </c>
      <c r="J43" s="24" t="s">
        <v>292</v>
      </c>
      <c r="K43" s="24"/>
      <c r="L43" s="24" t="s">
        <v>293</v>
      </c>
      <c r="M43" s="24" t="s">
        <v>294</v>
      </c>
    </row>
    <row r="44" spans="2:13" ht="15.75" customHeight="1" x14ac:dyDescent="0.15">
      <c r="B44" s="27"/>
      <c r="C44" s="24" t="s">
        <v>295</v>
      </c>
      <c r="D44" s="24"/>
      <c r="E44" s="22" t="s">
        <v>296</v>
      </c>
      <c r="F44" s="24"/>
      <c r="G44" s="24"/>
      <c r="H44" s="24"/>
      <c r="I44" s="24" t="s">
        <v>297</v>
      </c>
      <c r="J44" s="24"/>
      <c r="K44" s="24"/>
      <c r="L44" s="24" t="s">
        <v>298</v>
      </c>
      <c r="M44" s="24" t="s">
        <v>299</v>
      </c>
    </row>
    <row r="45" spans="2:13" ht="15.75" customHeight="1" x14ac:dyDescent="0.15">
      <c r="B45" s="27"/>
      <c r="C45" s="24"/>
      <c r="D45" s="24"/>
      <c r="E45" s="24" t="s">
        <v>300</v>
      </c>
      <c r="F45" s="24"/>
      <c r="G45" s="24"/>
      <c r="H45" s="24"/>
      <c r="I45" s="22" t="s">
        <v>301</v>
      </c>
      <c r="J45" s="24"/>
      <c r="K45" s="24"/>
      <c r="M45" s="24"/>
    </row>
    <row r="46" spans="2:13" ht="15.75" customHeight="1" x14ac:dyDescent="0.15">
      <c r="B46" s="27"/>
      <c r="C46" s="24"/>
      <c r="D46" s="24"/>
      <c r="E46" s="24" t="s">
        <v>302</v>
      </c>
      <c r="F46" s="24"/>
      <c r="G46" s="24"/>
      <c r="H46" s="24"/>
      <c r="I46" s="22" t="s">
        <v>303</v>
      </c>
      <c r="J46" s="24"/>
      <c r="K46" s="24"/>
      <c r="M46" s="24"/>
    </row>
    <row r="47" spans="2:13" ht="15.75" customHeight="1" x14ac:dyDescent="0.15">
      <c r="B47" s="17" t="s">
        <v>102</v>
      </c>
      <c r="C47" s="18" t="s">
        <v>60</v>
      </c>
      <c r="D47" s="19" t="s">
        <v>61</v>
      </c>
      <c r="E47" s="18" t="s">
        <v>62</v>
      </c>
      <c r="F47" s="18" t="s">
        <v>63</v>
      </c>
      <c r="G47" s="18" t="s">
        <v>64</v>
      </c>
      <c r="H47" s="18" t="s">
        <v>65</v>
      </c>
      <c r="I47" s="18" t="s">
        <v>66</v>
      </c>
      <c r="J47" s="18" t="s">
        <v>67</v>
      </c>
      <c r="K47" s="19" t="s">
        <v>68</v>
      </c>
      <c r="L47" s="19" t="s">
        <v>69</v>
      </c>
      <c r="M47" s="20" t="s">
        <v>70</v>
      </c>
    </row>
    <row r="48" spans="2:13" ht="15.75" customHeight="1" x14ac:dyDescent="0.15">
      <c r="B48" s="21" t="s">
        <v>304</v>
      </c>
      <c r="C48" s="24" t="s">
        <v>305</v>
      </c>
      <c r="D48" s="24" t="s">
        <v>306</v>
      </c>
      <c r="E48" s="25" t="s">
        <v>307</v>
      </c>
      <c r="F48" s="23" t="s">
        <v>308</v>
      </c>
      <c r="G48" s="24" t="s">
        <v>309</v>
      </c>
      <c r="H48" s="24" t="s">
        <v>310</v>
      </c>
      <c r="I48" s="24" t="s">
        <v>311</v>
      </c>
      <c r="J48" s="32" t="s">
        <v>312</v>
      </c>
      <c r="K48" s="24" t="s">
        <v>313</v>
      </c>
      <c r="L48" s="24" t="s">
        <v>314</v>
      </c>
      <c r="M48" s="29" t="s">
        <v>315</v>
      </c>
    </row>
    <row r="49" spans="2:13" ht="15.75" customHeight="1" x14ac:dyDescent="0.15">
      <c r="B49" s="27">
        <v>433</v>
      </c>
      <c r="C49" s="24" t="s">
        <v>316</v>
      </c>
      <c r="D49" s="24" t="s">
        <v>317</v>
      </c>
      <c r="E49" s="32" t="s">
        <v>318</v>
      </c>
      <c r="F49" s="23" t="s">
        <v>319</v>
      </c>
      <c r="G49" s="23" t="s">
        <v>320</v>
      </c>
      <c r="H49" s="24"/>
      <c r="I49" s="24" t="s">
        <v>321</v>
      </c>
      <c r="J49" s="24" t="s">
        <v>322</v>
      </c>
      <c r="K49" s="24" t="s">
        <v>297</v>
      </c>
      <c r="L49" s="22" t="s">
        <v>323</v>
      </c>
      <c r="M49" s="29" t="s">
        <v>324</v>
      </c>
    </row>
    <row r="50" spans="2:13" ht="15.75" customHeight="1" x14ac:dyDescent="0.15">
      <c r="B50" s="27"/>
      <c r="C50" s="24"/>
      <c r="D50" s="24"/>
      <c r="E50" s="24"/>
      <c r="F50" s="24" t="s">
        <v>325</v>
      </c>
      <c r="G50" s="24"/>
      <c r="H50" s="24"/>
      <c r="I50" s="24" t="s">
        <v>326</v>
      </c>
      <c r="J50" s="24"/>
      <c r="K50" s="24"/>
      <c r="L50" s="24" t="s">
        <v>327</v>
      </c>
      <c r="M50" s="29"/>
    </row>
    <row r="51" spans="2:13" ht="15.75" customHeight="1" x14ac:dyDescent="0.15">
      <c r="B51" s="27"/>
      <c r="C51" s="24"/>
      <c r="D51" s="24"/>
      <c r="E51" s="24"/>
      <c r="F51" s="24"/>
      <c r="G51" s="24"/>
      <c r="H51" s="24"/>
      <c r="I51" s="24"/>
      <c r="K51" s="24"/>
      <c r="L51" s="24" t="s">
        <v>328</v>
      </c>
      <c r="M51" s="29"/>
    </row>
    <row r="52" spans="2:13" ht="13" x14ac:dyDescent="0.15">
      <c r="B52" s="27"/>
      <c r="C52" s="24"/>
      <c r="D52" s="24"/>
      <c r="E52" s="24"/>
      <c r="F52" s="24"/>
      <c r="G52" s="24"/>
      <c r="H52" s="24"/>
      <c r="I52" s="24"/>
      <c r="K52" s="24"/>
      <c r="L52" s="23" t="s">
        <v>329</v>
      </c>
      <c r="M52" s="29"/>
    </row>
    <row r="53" spans="2:13" ht="13" x14ac:dyDescent="0.15">
      <c r="B53" s="17" t="s">
        <v>102</v>
      </c>
      <c r="C53" s="18" t="s">
        <v>60</v>
      </c>
      <c r="D53" s="19" t="s">
        <v>61</v>
      </c>
      <c r="E53" s="18" t="s">
        <v>62</v>
      </c>
      <c r="F53" s="18" t="s">
        <v>63</v>
      </c>
      <c r="G53" s="19" t="s">
        <v>64</v>
      </c>
      <c r="H53" s="18" t="s">
        <v>65</v>
      </c>
      <c r="I53" s="18" t="s">
        <v>66</v>
      </c>
      <c r="J53" s="18" t="s">
        <v>67</v>
      </c>
      <c r="K53" s="18" t="s">
        <v>68</v>
      </c>
      <c r="L53" s="18" t="s">
        <v>69</v>
      </c>
      <c r="M53" s="20" t="s">
        <v>70</v>
      </c>
    </row>
    <row r="54" spans="2:13" ht="13" x14ac:dyDescent="0.15">
      <c r="B54" s="21" t="s">
        <v>330</v>
      </c>
      <c r="C54" s="25" t="s">
        <v>331</v>
      </c>
      <c r="D54" s="24" t="s">
        <v>331</v>
      </c>
      <c r="E54" s="24" t="s">
        <v>332</v>
      </c>
      <c r="F54" s="22" t="s">
        <v>333</v>
      </c>
      <c r="G54" s="24" t="s">
        <v>334</v>
      </c>
      <c r="H54" s="25" t="s">
        <v>335</v>
      </c>
      <c r="I54" s="25" t="s">
        <v>336</v>
      </c>
      <c r="J54" s="24" t="s">
        <v>337</v>
      </c>
      <c r="K54" s="24" t="s">
        <v>338</v>
      </c>
      <c r="L54" s="25" t="s">
        <v>339</v>
      </c>
      <c r="M54" s="30" t="s">
        <v>340</v>
      </c>
    </row>
    <row r="55" spans="2:13" ht="13" x14ac:dyDescent="0.15">
      <c r="B55" s="27">
        <v>433</v>
      </c>
      <c r="C55" s="24" t="s">
        <v>341</v>
      </c>
      <c r="D55" s="24" t="s">
        <v>342</v>
      </c>
      <c r="E55" s="23" t="s">
        <v>203</v>
      </c>
      <c r="F55" s="24" t="s">
        <v>343</v>
      </c>
      <c r="G55" s="24" t="s">
        <v>344</v>
      </c>
      <c r="H55" s="24" t="s">
        <v>345</v>
      </c>
      <c r="I55" s="22" t="s">
        <v>346</v>
      </c>
      <c r="J55" s="25" t="s">
        <v>347</v>
      </c>
      <c r="K55" s="25" t="s">
        <v>348</v>
      </c>
      <c r="L55" s="24" t="s">
        <v>349</v>
      </c>
      <c r="M55" s="30" t="s">
        <v>350</v>
      </c>
    </row>
    <row r="56" spans="2:13" ht="13" x14ac:dyDescent="0.15">
      <c r="B56" s="27"/>
      <c r="C56" s="24" t="s">
        <v>331</v>
      </c>
      <c r="D56" s="24"/>
      <c r="E56" s="24" t="s">
        <v>351</v>
      </c>
      <c r="F56" s="24"/>
      <c r="H56" s="24"/>
      <c r="L56" s="23" t="s">
        <v>352</v>
      </c>
      <c r="M56" s="28" t="s">
        <v>353</v>
      </c>
    </row>
    <row r="57" spans="2:13" ht="13" x14ac:dyDescent="0.15">
      <c r="B57" s="27"/>
      <c r="C57" s="24"/>
      <c r="E57" s="24"/>
      <c r="I57" s="24"/>
      <c r="M57" s="26" t="s">
        <v>354</v>
      </c>
    </row>
    <row r="58" spans="2:13" ht="13" x14ac:dyDescent="0.15">
      <c r="B58" s="17" t="s">
        <v>102</v>
      </c>
      <c r="C58" s="19" t="s">
        <v>60</v>
      </c>
      <c r="D58" s="19" t="s">
        <v>61</v>
      </c>
      <c r="E58" s="19" t="s">
        <v>62</v>
      </c>
      <c r="F58" s="18" t="s">
        <v>63</v>
      </c>
      <c r="G58" s="18" t="s">
        <v>64</v>
      </c>
      <c r="H58" s="19" t="s">
        <v>65</v>
      </c>
      <c r="I58" s="19" t="s">
        <v>66</v>
      </c>
      <c r="J58" s="19" t="s">
        <v>67</v>
      </c>
      <c r="K58" s="18" t="s">
        <v>68</v>
      </c>
      <c r="L58" s="18" t="s">
        <v>69</v>
      </c>
      <c r="M58" s="20" t="s">
        <v>70</v>
      </c>
    </row>
    <row r="59" spans="2:13" ht="13" x14ac:dyDescent="0.15">
      <c r="B59" s="21" t="s">
        <v>355</v>
      </c>
      <c r="C59" s="24" t="s">
        <v>356</v>
      </c>
      <c r="D59" s="24" t="s">
        <v>357</v>
      </c>
      <c r="E59" s="24" t="s">
        <v>358</v>
      </c>
      <c r="F59" s="22" t="s">
        <v>359</v>
      </c>
      <c r="G59" s="23" t="s">
        <v>360</v>
      </c>
      <c r="H59" s="24" t="s">
        <v>361</v>
      </c>
      <c r="I59" s="24" t="s">
        <v>362</v>
      </c>
      <c r="K59" s="25" t="s">
        <v>363</v>
      </c>
      <c r="L59" s="24" t="s">
        <v>364</v>
      </c>
      <c r="M59" s="30" t="s">
        <v>365</v>
      </c>
    </row>
    <row r="60" spans="2:13" ht="13" x14ac:dyDescent="0.15">
      <c r="B60" s="27">
        <v>4312</v>
      </c>
      <c r="C60" s="24" t="s">
        <v>366</v>
      </c>
      <c r="D60" s="24" t="s">
        <v>367</v>
      </c>
      <c r="E60" s="25" t="s">
        <v>368</v>
      </c>
      <c r="F60" s="24"/>
      <c r="G60" s="24" t="s">
        <v>188</v>
      </c>
      <c r="I60" s="24" t="s">
        <v>369</v>
      </c>
      <c r="J60" s="24"/>
      <c r="K60" s="24"/>
      <c r="L60" s="24"/>
      <c r="M60" s="23" t="s">
        <v>127</v>
      </c>
    </row>
    <row r="61" spans="2:13" ht="13" x14ac:dyDescent="0.15">
      <c r="B61" s="27"/>
      <c r="C61" s="23" t="s">
        <v>370</v>
      </c>
      <c r="D61" s="24"/>
      <c r="E61" s="24" t="s">
        <v>371</v>
      </c>
      <c r="F61" s="24"/>
      <c r="G61" s="24"/>
      <c r="H61" s="24"/>
      <c r="I61" s="24" t="s">
        <v>372</v>
      </c>
      <c r="J61" s="24"/>
      <c r="L61" s="24"/>
      <c r="M61" s="29" t="s">
        <v>373</v>
      </c>
    </row>
    <row r="62" spans="2:13" ht="13" x14ac:dyDescent="0.15">
      <c r="B62" s="27"/>
      <c r="D62" s="24"/>
      <c r="E62" s="24" t="s">
        <v>374</v>
      </c>
      <c r="F62" s="24"/>
      <c r="G62" s="24"/>
      <c r="H62" s="24"/>
      <c r="I62" s="24" t="s">
        <v>375</v>
      </c>
      <c r="J62" s="24"/>
      <c r="K62" s="24"/>
      <c r="L62" s="24"/>
      <c r="M62" s="33" t="s">
        <v>376</v>
      </c>
    </row>
    <row r="63" spans="2:13" ht="13" x14ac:dyDescent="0.15">
      <c r="B63" s="17" t="s">
        <v>102</v>
      </c>
      <c r="C63" s="19" t="s">
        <v>60</v>
      </c>
      <c r="D63" s="18" t="s">
        <v>61</v>
      </c>
      <c r="E63" s="19" t="s">
        <v>62</v>
      </c>
      <c r="F63" s="18" t="s">
        <v>63</v>
      </c>
      <c r="G63" s="18" t="s">
        <v>64</v>
      </c>
      <c r="H63" s="19" t="s">
        <v>65</v>
      </c>
      <c r="I63" s="19" t="s">
        <v>66</v>
      </c>
      <c r="J63" s="19" t="s">
        <v>67</v>
      </c>
      <c r="K63" s="19" t="s">
        <v>68</v>
      </c>
      <c r="L63" s="19" t="s">
        <v>69</v>
      </c>
      <c r="M63" s="20" t="s">
        <v>70</v>
      </c>
    </row>
    <row r="64" spans="2:13" ht="13" x14ac:dyDescent="0.15">
      <c r="B64" s="21" t="s">
        <v>377</v>
      </c>
      <c r="C64" s="24" t="s">
        <v>378</v>
      </c>
      <c r="D64" s="23" t="s">
        <v>379</v>
      </c>
      <c r="E64" s="25" t="s">
        <v>380</v>
      </c>
      <c r="F64" s="24"/>
      <c r="G64" s="23" t="s">
        <v>381</v>
      </c>
      <c r="H64" s="24" t="s">
        <v>382</v>
      </c>
      <c r="I64" s="24" t="s">
        <v>383</v>
      </c>
      <c r="J64" s="24" t="s">
        <v>384</v>
      </c>
      <c r="K64" s="24" t="s">
        <v>385</v>
      </c>
      <c r="L64" s="24" t="s">
        <v>386</v>
      </c>
      <c r="M64" s="28" t="s">
        <v>387</v>
      </c>
    </row>
    <row r="65" spans="2:13" ht="13" x14ac:dyDescent="0.15">
      <c r="B65" s="27">
        <v>4231</v>
      </c>
      <c r="C65" s="24" t="s">
        <v>388</v>
      </c>
      <c r="D65" s="22" t="s">
        <v>389</v>
      </c>
      <c r="E65" s="24" t="s">
        <v>390</v>
      </c>
      <c r="F65" s="24"/>
      <c r="G65" s="24" t="s">
        <v>391</v>
      </c>
      <c r="H65" s="25" t="s">
        <v>392</v>
      </c>
      <c r="I65" s="24" t="s">
        <v>393</v>
      </c>
      <c r="J65" s="24" t="s">
        <v>394</v>
      </c>
      <c r="K65" s="24" t="s">
        <v>395</v>
      </c>
      <c r="L65" s="22" t="s">
        <v>396</v>
      </c>
      <c r="M65" s="24" t="s">
        <v>397</v>
      </c>
    </row>
    <row r="66" spans="2:13" ht="13" x14ac:dyDescent="0.15">
      <c r="B66" s="27"/>
      <c r="C66" s="24"/>
      <c r="D66" s="24" t="s">
        <v>398</v>
      </c>
      <c r="E66" s="24" t="s">
        <v>399</v>
      </c>
      <c r="H66" s="24"/>
      <c r="I66" s="25" t="s">
        <v>400</v>
      </c>
      <c r="J66" s="24"/>
      <c r="K66" s="22" t="s">
        <v>222</v>
      </c>
      <c r="L66" s="24" t="s">
        <v>401</v>
      </c>
      <c r="M66" s="29" t="s">
        <v>402</v>
      </c>
    </row>
    <row r="67" spans="2:13" ht="13" x14ac:dyDescent="0.15">
      <c r="B67" s="27"/>
      <c r="C67" s="24"/>
      <c r="E67" s="24" t="s">
        <v>403</v>
      </c>
      <c r="K67" s="24"/>
      <c r="M67" s="29"/>
    </row>
    <row r="68" spans="2:13" ht="13" x14ac:dyDescent="0.15">
      <c r="B68" s="17" t="s">
        <v>102</v>
      </c>
      <c r="C68" s="19" t="s">
        <v>60</v>
      </c>
      <c r="D68" s="18" t="s">
        <v>61</v>
      </c>
      <c r="E68" s="18" t="s">
        <v>62</v>
      </c>
      <c r="F68" s="18" t="s">
        <v>63</v>
      </c>
      <c r="G68" s="19" t="s">
        <v>64</v>
      </c>
      <c r="H68" s="18" t="s">
        <v>65</v>
      </c>
      <c r="I68" s="18" t="s">
        <v>66</v>
      </c>
      <c r="J68" s="19" t="s">
        <v>67</v>
      </c>
      <c r="K68" s="18" t="s">
        <v>68</v>
      </c>
      <c r="L68" s="19" t="s">
        <v>69</v>
      </c>
      <c r="M68" s="20" t="s">
        <v>70</v>
      </c>
    </row>
    <row r="69" spans="2:13" ht="13" x14ac:dyDescent="0.15">
      <c r="B69" s="21" t="s">
        <v>404</v>
      </c>
      <c r="C69" s="24" t="s">
        <v>167</v>
      </c>
      <c r="D69" s="25" t="s">
        <v>405</v>
      </c>
      <c r="E69" s="23" t="s">
        <v>406</v>
      </c>
      <c r="F69" s="24"/>
      <c r="G69" s="24" t="s">
        <v>407</v>
      </c>
      <c r="H69" s="25" t="s">
        <v>408</v>
      </c>
      <c r="I69" s="24" t="s">
        <v>409</v>
      </c>
      <c r="J69" s="23" t="s">
        <v>410</v>
      </c>
      <c r="K69" s="22" t="s">
        <v>411</v>
      </c>
      <c r="L69" s="24" t="s">
        <v>412</v>
      </c>
      <c r="M69" s="28" t="s">
        <v>89</v>
      </c>
    </row>
    <row r="70" spans="2:13" ht="13" x14ac:dyDescent="0.15">
      <c r="B70" s="27">
        <v>433</v>
      </c>
      <c r="C70" s="24" t="s">
        <v>413</v>
      </c>
      <c r="D70" s="24" t="s">
        <v>414</v>
      </c>
      <c r="E70" s="25" t="s">
        <v>415</v>
      </c>
      <c r="F70" s="24"/>
      <c r="G70" s="24" t="s">
        <v>416</v>
      </c>
      <c r="H70" s="25" t="s">
        <v>417</v>
      </c>
      <c r="I70" s="22" t="s">
        <v>159</v>
      </c>
      <c r="J70" s="24"/>
      <c r="K70" s="24"/>
      <c r="L70" s="24" t="s">
        <v>418</v>
      </c>
      <c r="M70" s="29" t="s">
        <v>419</v>
      </c>
    </row>
    <row r="71" spans="2:13" ht="13" x14ac:dyDescent="0.15">
      <c r="B71" s="27"/>
      <c r="C71" s="23" t="s">
        <v>420</v>
      </c>
      <c r="D71" s="23" t="s">
        <v>421</v>
      </c>
      <c r="E71" s="22" t="s">
        <v>422</v>
      </c>
      <c r="F71" s="24"/>
      <c r="G71" s="24"/>
      <c r="H71" s="24"/>
      <c r="I71" s="24" t="s">
        <v>423</v>
      </c>
      <c r="J71" s="24"/>
      <c r="L71" s="24" t="s">
        <v>424</v>
      </c>
      <c r="M71" s="29"/>
    </row>
    <row r="72" spans="2:13" ht="13" x14ac:dyDescent="0.15">
      <c r="B72" s="27"/>
      <c r="C72" s="24"/>
      <c r="D72" s="24"/>
      <c r="E72" s="22" t="s">
        <v>425</v>
      </c>
      <c r="F72" s="24"/>
      <c r="G72" s="24"/>
      <c r="H72" s="24"/>
      <c r="I72" s="24" t="s">
        <v>426</v>
      </c>
      <c r="J72" s="24"/>
      <c r="K72" s="24"/>
      <c r="L72" s="24"/>
      <c r="M72" s="29"/>
    </row>
    <row r="73" spans="2:13" ht="13" x14ac:dyDescent="0.15">
      <c r="B73" s="27"/>
      <c r="C73" s="24"/>
      <c r="D73" s="24"/>
      <c r="E73" s="24" t="s">
        <v>203</v>
      </c>
      <c r="F73" s="24"/>
      <c r="G73" s="24"/>
      <c r="H73" s="24"/>
      <c r="I73" s="24"/>
      <c r="J73" s="24"/>
      <c r="K73" s="24"/>
      <c r="L73" s="24"/>
      <c r="M73" s="29"/>
    </row>
    <row r="74" spans="2:13" ht="13" x14ac:dyDescent="0.15">
      <c r="B74" s="17" t="s">
        <v>102</v>
      </c>
      <c r="C74" s="19" t="s">
        <v>60</v>
      </c>
      <c r="D74" s="19" t="s">
        <v>61</v>
      </c>
      <c r="E74" s="19" t="s">
        <v>62</v>
      </c>
      <c r="F74" s="19" t="s">
        <v>63</v>
      </c>
      <c r="G74" s="18" t="s">
        <v>64</v>
      </c>
      <c r="H74" s="18" t="s">
        <v>65</v>
      </c>
      <c r="I74" s="18" t="s">
        <v>66</v>
      </c>
      <c r="J74" s="18" t="s">
        <v>67</v>
      </c>
      <c r="K74" s="19" t="s">
        <v>68</v>
      </c>
      <c r="L74" s="19" t="s">
        <v>69</v>
      </c>
      <c r="M74" s="31" t="s">
        <v>70</v>
      </c>
    </row>
    <row r="75" spans="2:13" ht="13" x14ac:dyDescent="0.15">
      <c r="B75" s="21" t="s">
        <v>427</v>
      </c>
      <c r="C75" s="22" t="s">
        <v>428</v>
      </c>
      <c r="D75" s="25" t="s">
        <v>429</v>
      </c>
      <c r="E75" s="24" t="s">
        <v>430</v>
      </c>
      <c r="F75" s="22" t="s">
        <v>431</v>
      </c>
      <c r="G75" s="22" t="s">
        <v>432</v>
      </c>
      <c r="H75" s="24" t="s">
        <v>433</v>
      </c>
      <c r="I75" s="24" t="s">
        <v>434</v>
      </c>
      <c r="J75" s="24"/>
      <c r="K75" s="24" t="s">
        <v>435</v>
      </c>
      <c r="L75" s="24" t="s">
        <v>436</v>
      </c>
      <c r="M75" s="24" t="s">
        <v>437</v>
      </c>
    </row>
    <row r="76" spans="2:13" ht="13" x14ac:dyDescent="0.15">
      <c r="B76" s="27">
        <v>4231</v>
      </c>
      <c r="C76" s="24" t="s">
        <v>438</v>
      </c>
      <c r="D76" s="24" t="s">
        <v>439</v>
      </c>
      <c r="E76" s="24" t="s">
        <v>440</v>
      </c>
      <c r="F76" s="24" t="s">
        <v>441</v>
      </c>
      <c r="G76" s="22" t="s">
        <v>442</v>
      </c>
      <c r="H76" s="24" t="s">
        <v>443</v>
      </c>
      <c r="I76" s="23" t="s">
        <v>444</v>
      </c>
      <c r="J76" s="24"/>
      <c r="K76" s="24" t="s">
        <v>445</v>
      </c>
      <c r="L76" s="22" t="s">
        <v>446</v>
      </c>
      <c r="M76" s="29" t="s">
        <v>447</v>
      </c>
    </row>
    <row r="77" spans="2:13" ht="13" x14ac:dyDescent="0.15">
      <c r="B77" s="27"/>
      <c r="C77" s="24" t="s">
        <v>448</v>
      </c>
      <c r="D77" s="24"/>
      <c r="E77" s="24" t="s">
        <v>449</v>
      </c>
      <c r="F77" s="24"/>
      <c r="I77" s="24" t="s">
        <v>450</v>
      </c>
      <c r="K77" s="24" t="s">
        <v>451</v>
      </c>
      <c r="L77" s="24" t="s">
        <v>452</v>
      </c>
      <c r="M77" s="29" t="s">
        <v>453</v>
      </c>
    </row>
    <row r="78" spans="2:13" ht="13" x14ac:dyDescent="0.15">
      <c r="B78" s="27"/>
      <c r="C78" s="24"/>
      <c r="D78" s="24"/>
      <c r="E78" s="23" t="s">
        <v>454</v>
      </c>
      <c r="F78" s="24"/>
      <c r="G78" s="24"/>
      <c r="H78" s="24"/>
      <c r="I78" s="24"/>
      <c r="K78" s="25" t="s">
        <v>455</v>
      </c>
      <c r="L78" s="24"/>
      <c r="M78" s="30" t="s">
        <v>456</v>
      </c>
    </row>
    <row r="79" spans="2:13" ht="13" x14ac:dyDescent="0.15">
      <c r="B79" s="17" t="s">
        <v>102</v>
      </c>
      <c r="C79" s="19" t="s">
        <v>60</v>
      </c>
      <c r="D79" s="18" t="s">
        <v>61</v>
      </c>
      <c r="E79" s="18" t="s">
        <v>62</v>
      </c>
      <c r="F79" s="18" t="s">
        <v>63</v>
      </c>
      <c r="G79" s="18" t="s">
        <v>64</v>
      </c>
      <c r="H79" s="19" t="s">
        <v>65</v>
      </c>
      <c r="I79" s="19" t="s">
        <v>66</v>
      </c>
      <c r="J79" s="18" t="s">
        <v>67</v>
      </c>
      <c r="K79" s="18" t="s">
        <v>68</v>
      </c>
      <c r="L79" s="19" t="s">
        <v>69</v>
      </c>
      <c r="M79" s="31" t="s">
        <v>70</v>
      </c>
    </row>
    <row r="80" spans="2:13" ht="13" x14ac:dyDescent="0.15">
      <c r="B80" s="21" t="s">
        <v>457</v>
      </c>
      <c r="C80" s="24" t="s">
        <v>458</v>
      </c>
      <c r="D80" s="24" t="s">
        <v>459</v>
      </c>
      <c r="E80" s="22" t="s">
        <v>460</v>
      </c>
      <c r="F80" s="25" t="s">
        <v>461</v>
      </c>
      <c r="G80" s="24" t="s">
        <v>462</v>
      </c>
      <c r="H80" s="25" t="s">
        <v>463</v>
      </c>
      <c r="I80" s="23" t="s">
        <v>464</v>
      </c>
      <c r="J80" s="25" t="s">
        <v>465</v>
      </c>
      <c r="K80" s="24"/>
      <c r="L80" s="24" t="s">
        <v>466</v>
      </c>
      <c r="M80" s="29" t="s">
        <v>467</v>
      </c>
    </row>
    <row r="81" spans="2:13" ht="13" x14ac:dyDescent="0.15">
      <c r="B81" s="27">
        <v>3421</v>
      </c>
      <c r="C81" s="24" t="s">
        <v>468</v>
      </c>
      <c r="D81" s="24" t="s">
        <v>469</v>
      </c>
      <c r="E81" s="25" t="s">
        <v>470</v>
      </c>
      <c r="F81" s="24" t="s">
        <v>471</v>
      </c>
      <c r="G81" s="24"/>
      <c r="H81" s="24" t="s">
        <v>367</v>
      </c>
      <c r="I81" s="24" t="s">
        <v>472</v>
      </c>
      <c r="K81" s="24"/>
      <c r="L81" s="24" t="s">
        <v>262</v>
      </c>
      <c r="M81" s="29" t="s">
        <v>473</v>
      </c>
    </row>
    <row r="82" spans="2:13" ht="13" x14ac:dyDescent="0.15">
      <c r="B82" s="27"/>
      <c r="C82" s="24" t="s">
        <v>474</v>
      </c>
      <c r="D82" s="24"/>
      <c r="E82" s="23" t="s">
        <v>475</v>
      </c>
      <c r="F82" s="24"/>
      <c r="G82" s="24"/>
      <c r="H82" s="22" t="s">
        <v>476</v>
      </c>
      <c r="I82" s="24" t="s">
        <v>477</v>
      </c>
      <c r="J82" s="24"/>
      <c r="K82" s="24"/>
      <c r="L82" s="24" t="s">
        <v>478</v>
      </c>
      <c r="M82" s="29" t="s">
        <v>479</v>
      </c>
    </row>
    <row r="83" spans="2:13" ht="13" x14ac:dyDescent="0.15">
      <c r="B83" s="27"/>
      <c r="C83" s="24"/>
      <c r="D83" s="24"/>
      <c r="E83" s="24" t="s">
        <v>480</v>
      </c>
      <c r="F83" s="24"/>
      <c r="G83" s="24"/>
      <c r="H83" s="24" t="s">
        <v>481</v>
      </c>
      <c r="J83" s="24"/>
      <c r="K83" s="24"/>
      <c r="L83" s="24"/>
      <c r="M83" s="29" t="s">
        <v>482</v>
      </c>
    </row>
    <row r="84" spans="2:13" ht="13" x14ac:dyDescent="0.15">
      <c r="B84" s="27"/>
      <c r="C84" s="24"/>
      <c r="D84" s="24"/>
      <c r="E84" s="24"/>
      <c r="F84" s="24"/>
      <c r="G84" s="24"/>
      <c r="H84" s="23" t="s">
        <v>483</v>
      </c>
      <c r="I84" s="24"/>
      <c r="J84" s="24"/>
      <c r="K84" s="24"/>
      <c r="L84" s="24"/>
      <c r="M84" s="29"/>
    </row>
    <row r="85" spans="2:13" ht="13" x14ac:dyDescent="0.15">
      <c r="B85" s="17" t="s">
        <v>102</v>
      </c>
      <c r="C85" s="19" t="s">
        <v>60</v>
      </c>
      <c r="D85" s="19" t="s">
        <v>61</v>
      </c>
      <c r="E85" s="18" t="s">
        <v>62</v>
      </c>
      <c r="F85" s="18" t="s">
        <v>63</v>
      </c>
      <c r="G85" s="18" t="s">
        <v>64</v>
      </c>
      <c r="H85" s="18" t="s">
        <v>65</v>
      </c>
      <c r="I85" s="18" t="s">
        <v>66</v>
      </c>
      <c r="J85" s="19" t="s">
        <v>67</v>
      </c>
      <c r="K85" s="18" t="s">
        <v>68</v>
      </c>
      <c r="L85" s="18" t="s">
        <v>69</v>
      </c>
      <c r="M85" s="20" t="s">
        <v>70</v>
      </c>
    </row>
    <row r="86" spans="2:13" ht="13" x14ac:dyDescent="0.15">
      <c r="B86" s="21" t="s">
        <v>484</v>
      </c>
      <c r="C86" s="24" t="s">
        <v>485</v>
      </c>
      <c r="D86" s="24" t="s">
        <v>486</v>
      </c>
      <c r="E86" s="23" t="s">
        <v>487</v>
      </c>
      <c r="F86" s="24"/>
      <c r="G86" s="25" t="s">
        <v>488</v>
      </c>
      <c r="H86" s="24" t="s">
        <v>489</v>
      </c>
      <c r="I86" s="25" t="s">
        <v>490</v>
      </c>
      <c r="J86" s="24" t="s">
        <v>491</v>
      </c>
      <c r="K86" s="24" t="s">
        <v>492</v>
      </c>
      <c r="L86" s="25" t="s">
        <v>493</v>
      </c>
      <c r="M86" s="30" t="s">
        <v>494</v>
      </c>
    </row>
    <row r="87" spans="2:13" ht="13" x14ac:dyDescent="0.15">
      <c r="B87" s="27">
        <v>4231</v>
      </c>
      <c r="C87" s="24" t="s">
        <v>149</v>
      </c>
      <c r="D87" s="24" t="s">
        <v>495</v>
      </c>
      <c r="E87" s="25" t="s">
        <v>171</v>
      </c>
      <c r="G87" s="24" t="s">
        <v>496</v>
      </c>
      <c r="H87" s="22" t="s">
        <v>497</v>
      </c>
      <c r="I87" s="24" t="s">
        <v>498</v>
      </c>
      <c r="J87" s="24" t="s">
        <v>499</v>
      </c>
      <c r="K87" s="25" t="s">
        <v>500</v>
      </c>
      <c r="L87" s="22" t="s">
        <v>501</v>
      </c>
      <c r="M87" s="30" t="s">
        <v>502</v>
      </c>
    </row>
    <row r="88" spans="2:13" ht="13" x14ac:dyDescent="0.15">
      <c r="B88" s="27"/>
      <c r="D88" s="25" t="s">
        <v>503</v>
      </c>
      <c r="E88" s="25" t="s">
        <v>504</v>
      </c>
      <c r="F88" s="24"/>
      <c r="G88" s="24"/>
      <c r="H88" s="24" t="s">
        <v>505</v>
      </c>
      <c r="J88" s="32" t="s">
        <v>506</v>
      </c>
      <c r="K88" s="24"/>
      <c r="L88" s="32" t="s">
        <v>507</v>
      </c>
      <c r="M88" s="30" t="s">
        <v>508</v>
      </c>
    </row>
    <row r="89" spans="2:13" ht="13" x14ac:dyDescent="0.15">
      <c r="B89" s="27"/>
      <c r="C89" s="24"/>
      <c r="D89" s="32" t="s">
        <v>225</v>
      </c>
      <c r="E89" s="24"/>
      <c r="F89" s="24"/>
      <c r="G89" s="24"/>
      <c r="H89" s="24"/>
      <c r="I89" s="24"/>
      <c r="J89" s="24"/>
      <c r="L89" s="24"/>
      <c r="M89" s="29" t="s">
        <v>509</v>
      </c>
    </row>
    <row r="90" spans="2:13" ht="13" x14ac:dyDescent="0.15">
      <c r="B90" s="27"/>
      <c r="C90" s="24"/>
      <c r="D90" s="32" t="s">
        <v>510</v>
      </c>
      <c r="E90" s="24"/>
      <c r="F90" s="24"/>
      <c r="G90" s="24"/>
      <c r="H90" s="24"/>
      <c r="I90" s="24"/>
      <c r="J90" s="24"/>
      <c r="L90" s="24"/>
    </row>
    <row r="91" spans="2:13" ht="13" x14ac:dyDescent="0.15">
      <c r="B91" s="17" t="s">
        <v>102</v>
      </c>
      <c r="C91" s="19" t="s">
        <v>60</v>
      </c>
      <c r="D91" s="18" t="s">
        <v>61</v>
      </c>
      <c r="E91" s="18" t="s">
        <v>62</v>
      </c>
      <c r="F91" s="18" t="s">
        <v>63</v>
      </c>
      <c r="G91" s="19" t="s">
        <v>64</v>
      </c>
      <c r="H91" s="18" t="s">
        <v>65</v>
      </c>
      <c r="I91" s="18" t="s">
        <v>66</v>
      </c>
      <c r="J91" s="19" t="s">
        <v>67</v>
      </c>
      <c r="K91" s="18" t="s">
        <v>68</v>
      </c>
      <c r="L91" s="18" t="s">
        <v>69</v>
      </c>
      <c r="M91" s="20" t="s">
        <v>70</v>
      </c>
    </row>
    <row r="92" spans="2:13" ht="13" x14ac:dyDescent="0.15">
      <c r="B92" s="34" t="s">
        <v>511</v>
      </c>
      <c r="C92" s="24" t="s">
        <v>512</v>
      </c>
      <c r="D92" s="25" t="s">
        <v>513</v>
      </c>
      <c r="E92" s="25" t="s">
        <v>514</v>
      </c>
      <c r="F92" s="25" t="s">
        <v>515</v>
      </c>
      <c r="G92" s="25" t="s">
        <v>504</v>
      </c>
      <c r="H92" s="25" t="s">
        <v>516</v>
      </c>
      <c r="I92" s="23" t="s">
        <v>517</v>
      </c>
      <c r="J92" s="25" t="s">
        <v>518</v>
      </c>
      <c r="K92" s="24" t="s">
        <v>450</v>
      </c>
      <c r="L92" s="25" t="s">
        <v>519</v>
      </c>
      <c r="M92" s="30" t="s">
        <v>520</v>
      </c>
    </row>
    <row r="93" spans="2:13" ht="13" x14ac:dyDescent="0.15">
      <c r="B93" s="27">
        <v>4231</v>
      </c>
      <c r="C93" s="24" t="s">
        <v>521</v>
      </c>
      <c r="D93" s="24" t="s">
        <v>522</v>
      </c>
      <c r="E93" s="25" t="s">
        <v>523</v>
      </c>
      <c r="F93" s="24"/>
      <c r="G93" s="24" t="s">
        <v>524</v>
      </c>
      <c r="H93" s="24"/>
      <c r="I93" s="24" t="s">
        <v>525</v>
      </c>
      <c r="J93" s="24" t="s">
        <v>526</v>
      </c>
      <c r="K93" s="25" t="s">
        <v>527</v>
      </c>
      <c r="L93" s="24"/>
      <c r="M93" s="30" t="s">
        <v>528</v>
      </c>
    </row>
    <row r="94" spans="2:13" ht="13" x14ac:dyDescent="0.15">
      <c r="B94" s="27"/>
      <c r="C94" s="24"/>
      <c r="E94" s="24" t="s">
        <v>529</v>
      </c>
      <c r="F94" s="24"/>
      <c r="G94" s="24" t="s">
        <v>134</v>
      </c>
      <c r="I94" s="24" t="s">
        <v>530</v>
      </c>
      <c r="J94" s="24"/>
      <c r="K94" s="32" t="s">
        <v>531</v>
      </c>
      <c r="M94" s="29"/>
    </row>
    <row r="95" spans="2:13" ht="13" x14ac:dyDescent="0.15">
      <c r="B95" s="27"/>
      <c r="C95" s="24"/>
      <c r="I95" s="24"/>
      <c r="J95" s="24"/>
      <c r="K95" s="24" t="s">
        <v>532</v>
      </c>
      <c r="M95" s="29"/>
    </row>
    <row r="96" spans="2:13" ht="13" x14ac:dyDescent="0.15">
      <c r="B96" s="17" t="s">
        <v>102</v>
      </c>
      <c r="C96" s="19" t="s">
        <v>60</v>
      </c>
      <c r="D96" s="19" t="s">
        <v>61</v>
      </c>
      <c r="E96" s="18" t="s">
        <v>62</v>
      </c>
      <c r="F96" s="19" t="s">
        <v>63</v>
      </c>
      <c r="G96" s="18" t="s">
        <v>64</v>
      </c>
      <c r="H96" s="19" t="s">
        <v>65</v>
      </c>
      <c r="I96" s="18" t="s">
        <v>66</v>
      </c>
      <c r="J96" s="19" t="s">
        <v>67</v>
      </c>
      <c r="K96" s="18" t="s">
        <v>68</v>
      </c>
      <c r="L96" s="19" t="s">
        <v>69</v>
      </c>
      <c r="M96" s="20" t="s">
        <v>70</v>
      </c>
    </row>
    <row r="97" spans="2:13" ht="13" x14ac:dyDescent="0.15">
      <c r="B97" s="21" t="s">
        <v>533</v>
      </c>
      <c r="C97" s="24" t="s">
        <v>534</v>
      </c>
      <c r="D97" s="24" t="s">
        <v>535</v>
      </c>
      <c r="E97" s="24" t="s">
        <v>536</v>
      </c>
      <c r="F97" s="24" t="s">
        <v>537</v>
      </c>
      <c r="G97" s="25" t="s">
        <v>259</v>
      </c>
      <c r="H97" s="24" t="s">
        <v>538</v>
      </c>
      <c r="I97" s="25" t="s">
        <v>539</v>
      </c>
      <c r="J97" s="24" t="s">
        <v>540</v>
      </c>
      <c r="K97" s="24" t="s">
        <v>541</v>
      </c>
      <c r="L97" s="24" t="s">
        <v>542</v>
      </c>
      <c r="M97" s="26" t="s">
        <v>475</v>
      </c>
    </row>
    <row r="98" spans="2:13" ht="13" x14ac:dyDescent="0.15">
      <c r="B98" s="27">
        <v>4231</v>
      </c>
      <c r="C98" s="25" t="s">
        <v>543</v>
      </c>
      <c r="D98" s="24" t="s">
        <v>544</v>
      </c>
      <c r="E98" s="24" t="s">
        <v>545</v>
      </c>
      <c r="F98" s="24" t="s">
        <v>546</v>
      </c>
      <c r="G98" s="24" t="s">
        <v>547</v>
      </c>
      <c r="H98" s="24" t="s">
        <v>548</v>
      </c>
      <c r="I98" s="24"/>
      <c r="J98" s="24" t="s">
        <v>539</v>
      </c>
      <c r="K98" s="24" t="s">
        <v>549</v>
      </c>
      <c r="L98" s="24" t="s">
        <v>512</v>
      </c>
      <c r="M98" s="29" t="s">
        <v>550</v>
      </c>
    </row>
    <row r="99" spans="2:13" ht="13" x14ac:dyDescent="0.15">
      <c r="B99" s="35"/>
      <c r="C99" s="36" t="s">
        <v>265</v>
      </c>
      <c r="D99" s="37"/>
      <c r="E99" s="36"/>
      <c r="F99" s="37"/>
      <c r="G99" s="36"/>
      <c r="H99" s="36" t="s">
        <v>107</v>
      </c>
      <c r="I99" s="36"/>
      <c r="J99" s="36"/>
      <c r="K99" s="36"/>
      <c r="L99" s="36" t="s">
        <v>551</v>
      </c>
      <c r="M99" s="33" t="s">
        <v>552</v>
      </c>
    </row>
    <row r="108" spans="2:13" ht="13" x14ac:dyDescent="0.15">
      <c r="G108" s="38"/>
      <c r="H108" s="38"/>
    </row>
    <row r="109" spans="2:13" ht="13" x14ac:dyDescent="0.15">
      <c r="G109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15.1640625" customWidth="1"/>
    <col min="2" max="2" width="22.1640625" customWidth="1"/>
    <col min="4" max="4" width="18.83203125" customWidth="1"/>
    <col min="5" max="5" width="15.6640625" customWidth="1"/>
    <col min="6" max="6" width="57.1640625" customWidth="1"/>
    <col min="7" max="7" width="18.1640625" customWidth="1"/>
    <col min="8" max="8" width="16.83203125" customWidth="1"/>
    <col min="9" max="10" width="15.6640625" customWidth="1"/>
    <col min="11" max="11" width="16.5" customWidth="1"/>
    <col min="12" max="12" width="59" customWidth="1"/>
  </cols>
  <sheetData>
    <row r="1" spans="1:12" ht="22.5" customHeight="1" x14ac:dyDescent="0.15">
      <c r="A1" s="12" t="s">
        <v>553</v>
      </c>
      <c r="B1" s="39" t="s">
        <v>59</v>
      </c>
      <c r="C1" s="39" t="s">
        <v>554</v>
      </c>
      <c r="D1" s="39" t="s">
        <v>555</v>
      </c>
      <c r="E1" s="40" t="s">
        <v>556</v>
      </c>
      <c r="F1" s="39" t="s">
        <v>557</v>
      </c>
      <c r="G1" s="41" t="s">
        <v>558</v>
      </c>
      <c r="H1" s="41" t="s">
        <v>559</v>
      </c>
      <c r="I1" s="40" t="s">
        <v>560</v>
      </c>
      <c r="J1" s="39" t="s">
        <v>561</v>
      </c>
      <c r="K1" s="40" t="s">
        <v>562</v>
      </c>
      <c r="L1" s="39" t="s">
        <v>563</v>
      </c>
    </row>
    <row r="2" spans="1:12" ht="22.5" hidden="1" customHeight="1" x14ac:dyDescent="0.15">
      <c r="A2" s="42">
        <v>46129</v>
      </c>
      <c r="B2" s="6" t="s">
        <v>11</v>
      </c>
      <c r="C2" s="6" t="s">
        <v>12</v>
      </c>
      <c r="D2" s="6" t="s">
        <v>564</v>
      </c>
      <c r="E2" s="43" t="s">
        <v>565</v>
      </c>
      <c r="F2" s="6"/>
      <c r="G2" s="44">
        <v>0</v>
      </c>
      <c r="H2" s="44">
        <v>10000</v>
      </c>
      <c r="I2" s="45" t="s">
        <v>566</v>
      </c>
      <c r="J2" s="45" t="s">
        <v>567</v>
      </c>
      <c r="K2" s="46" t="s">
        <v>14</v>
      </c>
      <c r="L2" s="6"/>
    </row>
    <row r="3" spans="1:12" ht="22.5" hidden="1" customHeight="1" x14ac:dyDescent="0.15">
      <c r="A3" s="42">
        <v>46129</v>
      </c>
      <c r="B3" s="6" t="s">
        <v>11</v>
      </c>
      <c r="C3" s="6" t="s">
        <v>12</v>
      </c>
      <c r="D3" s="6" t="s">
        <v>568</v>
      </c>
      <c r="E3" s="43" t="s">
        <v>569</v>
      </c>
      <c r="G3" s="44">
        <v>0</v>
      </c>
      <c r="H3" s="44">
        <v>10000</v>
      </c>
      <c r="I3" s="45" t="s">
        <v>566</v>
      </c>
      <c r="J3" s="45" t="s">
        <v>567</v>
      </c>
      <c r="K3" s="46" t="s">
        <v>14</v>
      </c>
    </row>
    <row r="4" spans="1:12" ht="22.5" hidden="1" customHeight="1" x14ac:dyDescent="0.15">
      <c r="A4" s="42">
        <v>46129</v>
      </c>
      <c r="B4" s="6" t="s">
        <v>11</v>
      </c>
      <c r="C4" s="6" t="s">
        <v>12</v>
      </c>
      <c r="D4" s="6" t="s">
        <v>568</v>
      </c>
      <c r="E4" s="43" t="s">
        <v>570</v>
      </c>
      <c r="G4" s="44">
        <v>0</v>
      </c>
      <c r="H4" s="44">
        <v>10000</v>
      </c>
      <c r="I4" s="45" t="s">
        <v>566</v>
      </c>
      <c r="J4" s="45" t="s">
        <v>567</v>
      </c>
      <c r="K4" s="46" t="s">
        <v>14</v>
      </c>
    </row>
    <row r="5" spans="1:12" ht="22.5" hidden="1" customHeight="1" x14ac:dyDescent="0.15">
      <c r="A5" s="42">
        <v>46129</v>
      </c>
      <c r="B5" s="6" t="s">
        <v>11</v>
      </c>
      <c r="C5" s="6" t="s">
        <v>12</v>
      </c>
      <c r="D5" s="6" t="s">
        <v>571</v>
      </c>
      <c r="E5" s="43" t="s">
        <v>569</v>
      </c>
      <c r="G5" s="44">
        <v>0</v>
      </c>
      <c r="H5" s="44">
        <v>10000</v>
      </c>
      <c r="I5" s="45" t="s">
        <v>566</v>
      </c>
      <c r="J5" s="45" t="s">
        <v>567</v>
      </c>
      <c r="K5" s="46" t="s">
        <v>14</v>
      </c>
    </row>
    <row r="6" spans="1:12" ht="22.5" hidden="1" customHeight="1" x14ac:dyDescent="0.15">
      <c r="A6" s="42">
        <v>46129</v>
      </c>
      <c r="B6" s="6" t="s">
        <v>11</v>
      </c>
      <c r="C6" s="6" t="s">
        <v>12</v>
      </c>
      <c r="D6" s="6" t="s">
        <v>571</v>
      </c>
      <c r="E6" s="43" t="s">
        <v>570</v>
      </c>
      <c r="G6" s="44">
        <v>0</v>
      </c>
      <c r="H6" s="44">
        <v>10000</v>
      </c>
      <c r="I6" s="45" t="s">
        <v>566</v>
      </c>
      <c r="J6" s="45" t="s">
        <v>567</v>
      </c>
      <c r="K6" s="46" t="s">
        <v>14</v>
      </c>
    </row>
    <row r="7" spans="1:12" ht="22.5" customHeight="1" x14ac:dyDescent="0.15">
      <c r="A7" s="42">
        <v>46129</v>
      </c>
      <c r="B7" s="6" t="s">
        <v>11</v>
      </c>
      <c r="C7" s="6" t="s">
        <v>12</v>
      </c>
      <c r="D7" s="6" t="s">
        <v>572</v>
      </c>
      <c r="E7" s="6" t="s">
        <v>565</v>
      </c>
      <c r="G7" s="44">
        <v>0</v>
      </c>
      <c r="H7" s="44">
        <v>10000</v>
      </c>
      <c r="I7" s="45" t="s">
        <v>566</v>
      </c>
      <c r="J7" s="45" t="s">
        <v>567</v>
      </c>
      <c r="K7" s="46" t="s">
        <v>14</v>
      </c>
      <c r="L7" s="6" t="s">
        <v>573</v>
      </c>
    </row>
    <row r="8" spans="1:12" ht="22.5" hidden="1" customHeight="1" x14ac:dyDescent="0.15">
      <c r="A8" s="42">
        <v>46129</v>
      </c>
      <c r="B8" s="6" t="s">
        <v>11</v>
      </c>
      <c r="C8" s="6" t="s">
        <v>12</v>
      </c>
      <c r="D8" s="6" t="s">
        <v>574</v>
      </c>
      <c r="E8" s="43" t="s">
        <v>565</v>
      </c>
      <c r="G8" s="44">
        <v>0</v>
      </c>
      <c r="H8" s="44">
        <v>10000</v>
      </c>
      <c r="I8" s="45" t="s">
        <v>566</v>
      </c>
      <c r="J8" s="45" t="s">
        <v>567</v>
      </c>
      <c r="K8" s="46" t="s">
        <v>14</v>
      </c>
    </row>
    <row r="9" spans="1:12" ht="22.5" hidden="1" customHeight="1" x14ac:dyDescent="0.15">
      <c r="A9" s="42">
        <v>46132</v>
      </c>
      <c r="B9" s="6" t="s">
        <v>15</v>
      </c>
      <c r="C9" s="6" t="s">
        <v>12</v>
      </c>
      <c r="D9" s="6" t="s">
        <v>571</v>
      </c>
      <c r="E9" s="43" t="s">
        <v>565</v>
      </c>
      <c r="G9" s="44">
        <v>280000</v>
      </c>
      <c r="H9" s="44">
        <v>12500</v>
      </c>
      <c r="I9" s="43" t="s">
        <v>566</v>
      </c>
      <c r="J9" s="43" t="s">
        <v>567</v>
      </c>
      <c r="K9" s="6" t="s">
        <v>14</v>
      </c>
    </row>
    <row r="10" spans="1:12" ht="22.5" hidden="1" customHeight="1" x14ac:dyDescent="0.15">
      <c r="A10" s="42">
        <v>46132</v>
      </c>
      <c r="B10" s="6" t="s">
        <v>15</v>
      </c>
      <c r="C10" s="6" t="s">
        <v>12</v>
      </c>
      <c r="D10" s="6" t="s">
        <v>575</v>
      </c>
      <c r="E10" s="43" t="s">
        <v>565</v>
      </c>
      <c r="G10" s="44">
        <v>280000</v>
      </c>
      <c r="H10" s="44">
        <v>12500</v>
      </c>
      <c r="I10" s="43" t="s">
        <v>566</v>
      </c>
      <c r="J10" s="43" t="s">
        <v>567</v>
      </c>
      <c r="K10" s="6" t="s">
        <v>14</v>
      </c>
    </row>
    <row r="11" spans="1:12" ht="22.5" hidden="1" customHeight="1" x14ac:dyDescent="0.15">
      <c r="A11" s="42">
        <v>46132</v>
      </c>
      <c r="B11" s="6" t="s">
        <v>15</v>
      </c>
      <c r="C11" s="6" t="s">
        <v>12</v>
      </c>
      <c r="D11" s="6" t="s">
        <v>576</v>
      </c>
      <c r="E11" s="43" t="s">
        <v>565</v>
      </c>
      <c r="G11" s="44">
        <v>280000</v>
      </c>
      <c r="H11" s="44">
        <v>12500</v>
      </c>
      <c r="I11" s="43" t="s">
        <v>566</v>
      </c>
      <c r="J11" s="43" t="s">
        <v>567</v>
      </c>
      <c r="K11" s="6" t="s">
        <v>14</v>
      </c>
    </row>
    <row r="12" spans="1:12" ht="22.5" customHeight="1" x14ac:dyDescent="0.15">
      <c r="A12" s="42">
        <v>46132</v>
      </c>
      <c r="B12" s="6" t="s">
        <v>15</v>
      </c>
      <c r="C12" s="6" t="s">
        <v>12</v>
      </c>
      <c r="D12" s="6" t="s">
        <v>572</v>
      </c>
      <c r="E12" s="43" t="s">
        <v>569</v>
      </c>
      <c r="G12" s="44">
        <v>280000</v>
      </c>
      <c r="H12" s="44">
        <v>12500</v>
      </c>
      <c r="I12" s="43" t="s">
        <v>566</v>
      </c>
      <c r="J12" s="43" t="s">
        <v>567</v>
      </c>
      <c r="K12" s="6" t="s">
        <v>14</v>
      </c>
    </row>
    <row r="13" spans="1:12" ht="22.5" customHeight="1" x14ac:dyDescent="0.15">
      <c r="A13" s="42">
        <v>46132</v>
      </c>
      <c r="B13" s="6" t="s">
        <v>15</v>
      </c>
      <c r="C13" s="6" t="s">
        <v>12</v>
      </c>
      <c r="D13" s="6" t="s">
        <v>572</v>
      </c>
      <c r="E13" s="43" t="s">
        <v>570</v>
      </c>
      <c r="G13" s="44">
        <v>280000</v>
      </c>
      <c r="H13" s="44">
        <v>12500</v>
      </c>
      <c r="I13" s="43" t="s">
        <v>566</v>
      </c>
      <c r="J13" s="43" t="s">
        <v>567</v>
      </c>
      <c r="K13" s="6" t="s">
        <v>14</v>
      </c>
    </row>
    <row r="14" spans="1:12" ht="22.5" hidden="1" customHeight="1" x14ac:dyDescent="0.15">
      <c r="A14" s="42">
        <v>46132</v>
      </c>
      <c r="B14" s="6" t="s">
        <v>15</v>
      </c>
      <c r="C14" s="6" t="s">
        <v>12</v>
      </c>
      <c r="D14" s="6" t="s">
        <v>574</v>
      </c>
      <c r="E14" s="43" t="s">
        <v>565</v>
      </c>
      <c r="G14" s="44">
        <v>280000</v>
      </c>
      <c r="H14" s="44">
        <v>12500</v>
      </c>
      <c r="I14" s="43" t="s">
        <v>566</v>
      </c>
      <c r="J14" s="43" t="s">
        <v>567</v>
      </c>
      <c r="K14" s="6" t="s">
        <v>14</v>
      </c>
    </row>
    <row r="15" spans="1:12" ht="22.5" hidden="1" customHeight="1" x14ac:dyDescent="0.15">
      <c r="A15" s="42">
        <v>46132</v>
      </c>
      <c r="B15" s="6" t="s">
        <v>17</v>
      </c>
      <c r="C15" s="6" t="s">
        <v>12</v>
      </c>
      <c r="D15" s="6" t="s">
        <v>568</v>
      </c>
      <c r="E15" s="43" t="s">
        <v>569</v>
      </c>
      <c r="G15" s="44">
        <v>1000000</v>
      </c>
      <c r="H15" s="44">
        <v>9000</v>
      </c>
      <c r="I15" s="43" t="s">
        <v>566</v>
      </c>
      <c r="J15" s="43" t="s">
        <v>567</v>
      </c>
      <c r="K15" s="6" t="s">
        <v>14</v>
      </c>
    </row>
    <row r="16" spans="1:12" ht="22.5" hidden="1" customHeight="1" x14ac:dyDescent="0.15">
      <c r="A16" s="42">
        <v>46132</v>
      </c>
      <c r="B16" s="6" t="s">
        <v>17</v>
      </c>
      <c r="C16" s="6" t="s">
        <v>12</v>
      </c>
      <c r="D16" s="6" t="s">
        <v>575</v>
      </c>
      <c r="E16" s="43" t="s">
        <v>565</v>
      </c>
      <c r="F16" s="6"/>
      <c r="G16" s="44">
        <v>1000000</v>
      </c>
      <c r="H16" s="44">
        <v>9000</v>
      </c>
      <c r="I16" s="43" t="s">
        <v>566</v>
      </c>
      <c r="J16" s="43" t="s">
        <v>567</v>
      </c>
      <c r="K16" s="6" t="s">
        <v>14</v>
      </c>
      <c r="L16" s="6"/>
    </row>
    <row r="17" spans="1:12" ht="22.5" customHeight="1" x14ac:dyDescent="0.15">
      <c r="A17" s="42">
        <v>46132</v>
      </c>
      <c r="B17" s="6" t="s">
        <v>17</v>
      </c>
      <c r="C17" s="6" t="s">
        <v>12</v>
      </c>
      <c r="D17" s="6" t="s">
        <v>572</v>
      </c>
      <c r="E17" s="43" t="s">
        <v>569</v>
      </c>
      <c r="F17" s="6"/>
      <c r="G17" s="44">
        <v>1000000</v>
      </c>
      <c r="H17" s="44">
        <v>9000</v>
      </c>
      <c r="I17" s="43" t="s">
        <v>566</v>
      </c>
      <c r="J17" s="43" t="s">
        <v>567</v>
      </c>
      <c r="K17" s="6" t="s">
        <v>14</v>
      </c>
      <c r="L17" s="6"/>
    </row>
    <row r="18" spans="1:12" ht="22.5" customHeight="1" x14ac:dyDescent="0.15">
      <c r="A18" s="42">
        <v>46132</v>
      </c>
      <c r="B18" s="6" t="s">
        <v>17</v>
      </c>
      <c r="C18" s="6" t="s">
        <v>12</v>
      </c>
      <c r="D18" s="6" t="s">
        <v>572</v>
      </c>
      <c r="E18" s="43" t="s">
        <v>570</v>
      </c>
      <c r="F18" s="6"/>
      <c r="G18" s="44">
        <v>1000000</v>
      </c>
      <c r="H18" s="44">
        <v>9000</v>
      </c>
      <c r="I18" s="43" t="s">
        <v>566</v>
      </c>
      <c r="J18" s="43" t="s">
        <v>567</v>
      </c>
      <c r="K18" s="6" t="s">
        <v>14</v>
      </c>
      <c r="L18" s="6"/>
    </row>
    <row r="19" spans="1:12" ht="22.5" hidden="1" customHeight="1" x14ac:dyDescent="0.15">
      <c r="A19" s="42">
        <v>46132</v>
      </c>
      <c r="B19" s="6" t="s">
        <v>17</v>
      </c>
      <c r="C19" s="6" t="s">
        <v>12</v>
      </c>
      <c r="D19" s="6" t="s">
        <v>574</v>
      </c>
      <c r="E19" s="43" t="s">
        <v>565</v>
      </c>
      <c r="F19" s="6"/>
      <c r="G19" s="44">
        <v>1000000</v>
      </c>
      <c r="H19" s="44">
        <v>9000</v>
      </c>
      <c r="I19" s="43" t="s">
        <v>566</v>
      </c>
      <c r="J19" s="43" t="s">
        <v>567</v>
      </c>
      <c r="K19" s="6" t="s">
        <v>14</v>
      </c>
      <c r="L19" s="6"/>
    </row>
    <row r="20" spans="1:12" ht="22.5" hidden="1" customHeight="1" x14ac:dyDescent="0.15">
      <c r="A20" s="42">
        <v>46132</v>
      </c>
      <c r="B20" s="6" t="s">
        <v>20</v>
      </c>
      <c r="C20" s="6" t="s">
        <v>12</v>
      </c>
      <c r="D20" s="6" t="s">
        <v>568</v>
      </c>
      <c r="E20" s="43" t="s">
        <v>570</v>
      </c>
      <c r="F20" s="6"/>
      <c r="G20" s="44">
        <v>1350000</v>
      </c>
      <c r="H20" s="44">
        <v>9000</v>
      </c>
      <c r="I20" s="43" t="s">
        <v>566</v>
      </c>
      <c r="J20" s="43" t="s">
        <v>567</v>
      </c>
      <c r="K20" s="6" t="s">
        <v>14</v>
      </c>
      <c r="L20" s="6"/>
    </row>
    <row r="21" spans="1:12" ht="22.5" hidden="1" customHeight="1" x14ac:dyDescent="0.15">
      <c r="A21" s="42">
        <v>46132</v>
      </c>
      <c r="B21" s="6" t="s">
        <v>20</v>
      </c>
      <c r="C21" s="6" t="s">
        <v>12</v>
      </c>
      <c r="D21" s="6" t="s">
        <v>571</v>
      </c>
      <c r="E21" s="43" t="s">
        <v>569</v>
      </c>
      <c r="F21" s="6"/>
      <c r="G21" s="44">
        <v>1350000</v>
      </c>
      <c r="H21" s="44">
        <v>9000</v>
      </c>
      <c r="I21" s="43" t="s">
        <v>566</v>
      </c>
      <c r="J21" s="43" t="s">
        <v>567</v>
      </c>
      <c r="K21" s="6" t="s">
        <v>14</v>
      </c>
      <c r="L21" s="6"/>
    </row>
    <row r="22" spans="1:12" ht="22.5" hidden="1" customHeight="1" x14ac:dyDescent="0.15">
      <c r="A22" s="42">
        <v>46132</v>
      </c>
      <c r="B22" s="6" t="s">
        <v>20</v>
      </c>
      <c r="C22" s="6" t="s">
        <v>12</v>
      </c>
      <c r="D22" s="6" t="s">
        <v>574</v>
      </c>
      <c r="E22" s="43" t="s">
        <v>565</v>
      </c>
      <c r="F22" s="47"/>
      <c r="G22" s="44">
        <v>1350000</v>
      </c>
      <c r="H22" s="44">
        <v>9000</v>
      </c>
      <c r="I22" s="43" t="s">
        <v>566</v>
      </c>
      <c r="J22" s="43" t="s">
        <v>567</v>
      </c>
      <c r="K22" s="6" t="s">
        <v>14</v>
      </c>
      <c r="L22" s="6"/>
    </row>
    <row r="23" spans="1:12" ht="22.5" hidden="1" customHeight="1" x14ac:dyDescent="0.15">
      <c r="A23" s="42">
        <v>46132</v>
      </c>
      <c r="B23" s="4" t="s">
        <v>23</v>
      </c>
      <c r="C23" s="6" t="s">
        <v>12</v>
      </c>
      <c r="D23" s="6" t="s">
        <v>568</v>
      </c>
      <c r="E23" s="43" t="s">
        <v>569</v>
      </c>
      <c r="F23" s="47"/>
      <c r="G23" s="44">
        <v>2500000</v>
      </c>
      <c r="H23" s="44">
        <v>9000</v>
      </c>
      <c r="I23" s="43" t="s">
        <v>566</v>
      </c>
      <c r="J23" s="43" t="s">
        <v>567</v>
      </c>
      <c r="K23" s="6" t="s">
        <v>14</v>
      </c>
      <c r="L23" s="6"/>
    </row>
    <row r="24" spans="1:12" ht="22.5" hidden="1" customHeight="1" x14ac:dyDescent="0.15">
      <c r="A24" s="42">
        <v>46132</v>
      </c>
      <c r="B24" s="4" t="s">
        <v>23</v>
      </c>
      <c r="C24" s="6" t="s">
        <v>12</v>
      </c>
      <c r="D24" s="6" t="s">
        <v>571</v>
      </c>
      <c r="E24" s="43" t="s">
        <v>569</v>
      </c>
      <c r="F24" s="47"/>
      <c r="G24" s="44">
        <v>2500000</v>
      </c>
      <c r="H24" s="44">
        <v>9000</v>
      </c>
      <c r="I24" s="43" t="s">
        <v>566</v>
      </c>
      <c r="J24" s="43" t="s">
        <v>567</v>
      </c>
      <c r="K24" s="6" t="s">
        <v>14</v>
      </c>
      <c r="L24" s="6"/>
    </row>
    <row r="25" spans="1:12" ht="22.5" hidden="1" customHeight="1" x14ac:dyDescent="0.15">
      <c r="A25" s="42">
        <v>46132</v>
      </c>
      <c r="B25" s="4" t="s">
        <v>23</v>
      </c>
      <c r="C25" s="6" t="s">
        <v>12</v>
      </c>
      <c r="D25" s="6" t="s">
        <v>576</v>
      </c>
      <c r="E25" s="43" t="s">
        <v>565</v>
      </c>
      <c r="F25" s="47"/>
      <c r="G25" s="44">
        <v>2500000</v>
      </c>
      <c r="H25" s="44">
        <v>9000</v>
      </c>
      <c r="I25" s="43" t="s">
        <v>566</v>
      </c>
      <c r="J25" s="43" t="s">
        <v>567</v>
      </c>
      <c r="K25" s="6" t="s">
        <v>14</v>
      </c>
      <c r="L25" s="6"/>
    </row>
    <row r="26" spans="1:12" ht="22.5" customHeight="1" x14ac:dyDescent="0.15">
      <c r="A26" s="42">
        <v>46132</v>
      </c>
      <c r="B26" s="4" t="s">
        <v>23</v>
      </c>
      <c r="C26" s="6" t="s">
        <v>12</v>
      </c>
      <c r="D26" s="6" t="s">
        <v>572</v>
      </c>
      <c r="E26" s="43" t="s">
        <v>565</v>
      </c>
      <c r="F26" s="47"/>
      <c r="G26" s="44">
        <v>2500000</v>
      </c>
      <c r="H26" s="44">
        <v>9000</v>
      </c>
      <c r="I26" s="43" t="s">
        <v>566</v>
      </c>
      <c r="J26" s="43" t="s">
        <v>567</v>
      </c>
      <c r="K26" s="6" t="s">
        <v>14</v>
      </c>
      <c r="L26" s="6"/>
    </row>
    <row r="27" spans="1:12" ht="22.5" hidden="1" customHeight="1" x14ac:dyDescent="0.15">
      <c r="A27" s="42">
        <v>46132</v>
      </c>
      <c r="B27" s="4" t="s">
        <v>23</v>
      </c>
      <c r="C27" s="6" t="s">
        <v>12</v>
      </c>
      <c r="D27" s="6" t="s">
        <v>574</v>
      </c>
      <c r="E27" s="43" t="s">
        <v>565</v>
      </c>
      <c r="F27" s="47"/>
      <c r="G27" s="44">
        <v>2500000</v>
      </c>
      <c r="H27" s="44">
        <v>9000</v>
      </c>
      <c r="I27" s="43" t="s">
        <v>566</v>
      </c>
      <c r="J27" s="43" t="s">
        <v>567</v>
      </c>
      <c r="K27" s="6" t="s">
        <v>14</v>
      </c>
      <c r="L27" s="6"/>
    </row>
    <row r="28" spans="1:12" ht="22.5" hidden="1" customHeight="1" x14ac:dyDescent="0.15">
      <c r="A28" s="42">
        <v>46132</v>
      </c>
      <c r="B28" s="4" t="s">
        <v>26</v>
      </c>
      <c r="C28" s="6" t="s">
        <v>12</v>
      </c>
      <c r="D28" s="6" t="s">
        <v>568</v>
      </c>
      <c r="E28" s="43" t="s">
        <v>570</v>
      </c>
      <c r="F28" s="47"/>
      <c r="G28" s="44">
        <v>1300000</v>
      </c>
      <c r="H28" s="44">
        <v>9000</v>
      </c>
      <c r="I28" s="43" t="s">
        <v>566</v>
      </c>
      <c r="J28" s="43" t="s">
        <v>567</v>
      </c>
      <c r="K28" s="6" t="s">
        <v>14</v>
      </c>
      <c r="L28" s="6"/>
    </row>
    <row r="29" spans="1:12" ht="22.5" hidden="1" customHeight="1" x14ac:dyDescent="0.15">
      <c r="A29" s="42">
        <v>46132</v>
      </c>
      <c r="B29" s="4" t="s">
        <v>26</v>
      </c>
      <c r="C29" s="6" t="s">
        <v>12</v>
      </c>
      <c r="D29" s="6" t="s">
        <v>577</v>
      </c>
      <c r="E29" s="43" t="s">
        <v>565</v>
      </c>
      <c r="F29" s="47"/>
      <c r="G29" s="44">
        <v>1300000</v>
      </c>
      <c r="H29" s="44">
        <v>9000</v>
      </c>
      <c r="I29" s="43" t="s">
        <v>566</v>
      </c>
      <c r="J29" s="43" t="s">
        <v>567</v>
      </c>
      <c r="K29" s="6" t="s">
        <v>14</v>
      </c>
      <c r="L29" s="6"/>
    </row>
    <row r="30" spans="1:12" ht="22.5" customHeight="1" x14ac:dyDescent="0.15">
      <c r="A30" s="42">
        <v>46132</v>
      </c>
      <c r="B30" s="4" t="s">
        <v>26</v>
      </c>
      <c r="C30" s="6" t="s">
        <v>12</v>
      </c>
      <c r="D30" s="6" t="s">
        <v>572</v>
      </c>
      <c r="E30" s="43" t="s">
        <v>569</v>
      </c>
      <c r="F30" s="47"/>
      <c r="G30" s="44">
        <v>1300000</v>
      </c>
      <c r="H30" s="44">
        <v>9000</v>
      </c>
      <c r="I30" s="43" t="s">
        <v>566</v>
      </c>
      <c r="J30" s="43" t="s">
        <v>567</v>
      </c>
      <c r="K30" s="6" t="s">
        <v>14</v>
      </c>
      <c r="L30" s="6"/>
    </row>
    <row r="31" spans="1:12" ht="22.5" customHeight="1" x14ac:dyDescent="0.15">
      <c r="A31" s="42">
        <v>46132</v>
      </c>
      <c r="B31" s="4" t="s">
        <v>26</v>
      </c>
      <c r="C31" s="6" t="s">
        <v>12</v>
      </c>
      <c r="D31" s="6" t="s">
        <v>572</v>
      </c>
      <c r="E31" s="43" t="s">
        <v>570</v>
      </c>
      <c r="F31" s="47"/>
      <c r="G31" s="44">
        <v>1300000</v>
      </c>
      <c r="H31" s="44">
        <v>9000</v>
      </c>
      <c r="I31" s="43" t="s">
        <v>566</v>
      </c>
      <c r="J31" s="43" t="s">
        <v>567</v>
      </c>
      <c r="K31" s="6" t="s">
        <v>14</v>
      </c>
      <c r="L31" s="6"/>
    </row>
    <row r="32" spans="1:12" ht="22.5" hidden="1" customHeight="1" x14ac:dyDescent="0.15">
      <c r="A32" s="42">
        <v>46132</v>
      </c>
      <c r="B32" s="4" t="s">
        <v>28</v>
      </c>
      <c r="C32" s="6" t="s">
        <v>12</v>
      </c>
      <c r="D32" s="6" t="s">
        <v>564</v>
      </c>
      <c r="E32" s="43" t="s">
        <v>565</v>
      </c>
      <c r="F32" s="47"/>
      <c r="G32" s="44">
        <v>750000</v>
      </c>
      <c r="H32" s="44">
        <v>9000</v>
      </c>
      <c r="I32" s="43" t="s">
        <v>566</v>
      </c>
      <c r="J32" s="43" t="s">
        <v>567</v>
      </c>
      <c r="K32" s="6" t="s">
        <v>14</v>
      </c>
      <c r="L32" s="6"/>
    </row>
    <row r="33" spans="1:12" ht="22.5" hidden="1" customHeight="1" x14ac:dyDescent="0.15">
      <c r="A33" s="42">
        <v>46132</v>
      </c>
      <c r="B33" s="4" t="s">
        <v>28</v>
      </c>
      <c r="C33" s="6" t="s">
        <v>12</v>
      </c>
      <c r="D33" s="6" t="s">
        <v>578</v>
      </c>
      <c r="E33" s="43" t="s">
        <v>570</v>
      </c>
      <c r="F33" s="47"/>
      <c r="G33" s="44">
        <v>750000</v>
      </c>
      <c r="H33" s="44">
        <v>9000</v>
      </c>
      <c r="I33" s="43" t="s">
        <v>566</v>
      </c>
      <c r="J33" s="43" t="s">
        <v>567</v>
      </c>
      <c r="K33" s="6" t="s">
        <v>14</v>
      </c>
      <c r="L33" s="6"/>
    </row>
    <row r="34" spans="1:12" ht="22.5" hidden="1" customHeight="1" x14ac:dyDescent="0.15">
      <c r="A34" s="42">
        <v>46132</v>
      </c>
      <c r="B34" s="4" t="s">
        <v>28</v>
      </c>
      <c r="C34" s="6" t="s">
        <v>12</v>
      </c>
      <c r="D34" s="6" t="s">
        <v>571</v>
      </c>
      <c r="E34" s="43" t="s">
        <v>565</v>
      </c>
      <c r="F34" s="47"/>
      <c r="G34" s="44">
        <v>750000</v>
      </c>
      <c r="H34" s="44">
        <v>9000</v>
      </c>
      <c r="I34" s="43" t="s">
        <v>566</v>
      </c>
      <c r="J34" s="43" t="s">
        <v>567</v>
      </c>
      <c r="K34" s="6" t="s">
        <v>14</v>
      </c>
      <c r="L34" s="6"/>
    </row>
    <row r="35" spans="1:12" ht="22.5" hidden="1" customHeight="1" x14ac:dyDescent="0.15">
      <c r="A35" s="42">
        <v>46132</v>
      </c>
      <c r="B35" s="4" t="s">
        <v>28</v>
      </c>
      <c r="C35" s="6" t="s">
        <v>12</v>
      </c>
      <c r="D35" s="6" t="s">
        <v>576</v>
      </c>
      <c r="E35" s="43" t="s">
        <v>565</v>
      </c>
      <c r="F35" s="47"/>
      <c r="G35" s="44">
        <v>750000</v>
      </c>
      <c r="H35" s="44">
        <v>9000</v>
      </c>
      <c r="I35" s="43" t="s">
        <v>566</v>
      </c>
      <c r="J35" s="43" t="s">
        <v>567</v>
      </c>
      <c r="K35" s="6" t="s">
        <v>14</v>
      </c>
      <c r="L35" s="6"/>
    </row>
    <row r="36" spans="1:12" ht="22.5" hidden="1" customHeight="1" x14ac:dyDescent="0.15">
      <c r="A36" s="42">
        <v>46132</v>
      </c>
      <c r="B36" s="4" t="s">
        <v>28</v>
      </c>
      <c r="C36" s="6" t="s">
        <v>12</v>
      </c>
      <c r="D36" s="48" t="s">
        <v>574</v>
      </c>
      <c r="E36" s="43" t="s">
        <v>565</v>
      </c>
      <c r="F36" s="6"/>
      <c r="G36" s="44">
        <v>750000</v>
      </c>
      <c r="H36" s="44">
        <v>9000</v>
      </c>
      <c r="I36" s="43" t="s">
        <v>566</v>
      </c>
      <c r="J36" s="43" t="s">
        <v>567</v>
      </c>
      <c r="K36" s="6" t="s">
        <v>14</v>
      </c>
      <c r="L36" s="47"/>
    </row>
    <row r="37" spans="1:12" ht="22.5" hidden="1" customHeight="1" x14ac:dyDescent="0.15">
      <c r="A37" s="42">
        <v>46132</v>
      </c>
      <c r="B37" s="6" t="s">
        <v>31</v>
      </c>
      <c r="C37" s="6" t="s">
        <v>12</v>
      </c>
      <c r="D37" s="6" t="s">
        <v>568</v>
      </c>
      <c r="E37" s="43" t="s">
        <v>569</v>
      </c>
      <c r="F37" s="47"/>
      <c r="G37" s="44">
        <v>1500000</v>
      </c>
      <c r="H37" s="44">
        <v>11000</v>
      </c>
      <c r="I37" s="43" t="s">
        <v>566</v>
      </c>
      <c r="J37" s="43" t="s">
        <v>567</v>
      </c>
      <c r="K37" s="6" t="s">
        <v>14</v>
      </c>
      <c r="L37" s="6"/>
    </row>
    <row r="38" spans="1:12" ht="22.5" hidden="1" customHeight="1" x14ac:dyDescent="0.15">
      <c r="A38" s="42">
        <v>46132</v>
      </c>
      <c r="B38" s="6" t="s">
        <v>31</v>
      </c>
      <c r="C38" s="6" t="s">
        <v>12</v>
      </c>
      <c r="D38" s="6" t="s">
        <v>568</v>
      </c>
      <c r="E38" s="43" t="s">
        <v>570</v>
      </c>
      <c r="F38" s="47"/>
      <c r="G38" s="44">
        <v>1500000</v>
      </c>
      <c r="H38" s="44">
        <v>11000</v>
      </c>
      <c r="I38" s="43" t="s">
        <v>566</v>
      </c>
      <c r="J38" s="43" t="s">
        <v>567</v>
      </c>
      <c r="K38" s="6" t="s">
        <v>14</v>
      </c>
      <c r="L38" s="6"/>
    </row>
    <row r="39" spans="1:12" ht="22.5" hidden="1" customHeight="1" x14ac:dyDescent="0.15">
      <c r="A39" s="42">
        <v>46132</v>
      </c>
      <c r="B39" s="6" t="s">
        <v>31</v>
      </c>
      <c r="C39" s="6" t="s">
        <v>12</v>
      </c>
      <c r="D39" s="6" t="s">
        <v>575</v>
      </c>
      <c r="E39" s="43" t="s">
        <v>565</v>
      </c>
      <c r="F39" s="47"/>
      <c r="G39" s="44">
        <v>1500000</v>
      </c>
      <c r="H39" s="44">
        <v>11000</v>
      </c>
      <c r="I39" s="43" t="s">
        <v>566</v>
      </c>
      <c r="J39" s="43" t="s">
        <v>567</v>
      </c>
      <c r="K39" s="6" t="s">
        <v>14</v>
      </c>
      <c r="L39" s="6"/>
    </row>
    <row r="40" spans="1:12" ht="22.5" hidden="1" customHeight="1" x14ac:dyDescent="0.15">
      <c r="A40" s="42">
        <v>46132</v>
      </c>
      <c r="B40" s="6" t="s">
        <v>31</v>
      </c>
      <c r="C40" s="6" t="s">
        <v>12</v>
      </c>
      <c r="D40" s="6" t="s">
        <v>577</v>
      </c>
      <c r="E40" s="43" t="s">
        <v>565</v>
      </c>
      <c r="F40" s="47"/>
      <c r="G40" s="44">
        <v>1500000</v>
      </c>
      <c r="H40" s="44">
        <v>11000</v>
      </c>
      <c r="I40" s="43" t="s">
        <v>566</v>
      </c>
      <c r="J40" s="43" t="s">
        <v>567</v>
      </c>
      <c r="K40" s="6" t="s">
        <v>14</v>
      </c>
      <c r="L40" s="6"/>
    </row>
    <row r="41" spans="1:12" ht="22.5" customHeight="1" x14ac:dyDescent="0.15">
      <c r="A41" s="42">
        <v>46132</v>
      </c>
      <c r="B41" s="6" t="s">
        <v>31</v>
      </c>
      <c r="C41" s="6" t="s">
        <v>12</v>
      </c>
      <c r="D41" s="6" t="s">
        <v>572</v>
      </c>
      <c r="E41" s="43" t="s">
        <v>569</v>
      </c>
      <c r="F41" s="47"/>
      <c r="G41" s="44">
        <v>1500000</v>
      </c>
      <c r="H41" s="44">
        <v>11000</v>
      </c>
      <c r="I41" s="43" t="s">
        <v>566</v>
      </c>
      <c r="J41" s="43" t="s">
        <v>567</v>
      </c>
      <c r="K41" s="6" t="s">
        <v>14</v>
      </c>
      <c r="L41" s="6"/>
    </row>
    <row r="42" spans="1:12" ht="22.5" hidden="1" customHeight="1" x14ac:dyDescent="0.15">
      <c r="A42" s="42">
        <v>46132</v>
      </c>
      <c r="B42" s="6" t="s">
        <v>34</v>
      </c>
      <c r="C42" s="6" t="s">
        <v>12</v>
      </c>
      <c r="D42" s="6" t="s">
        <v>564</v>
      </c>
      <c r="E42" s="43" t="s">
        <v>565</v>
      </c>
      <c r="F42" s="47" t="s">
        <v>579</v>
      </c>
      <c r="G42" s="44">
        <v>3000000</v>
      </c>
      <c r="H42" s="44">
        <v>15000</v>
      </c>
      <c r="I42" s="43" t="s">
        <v>566</v>
      </c>
      <c r="J42" s="43" t="s">
        <v>567</v>
      </c>
      <c r="K42" s="6" t="s">
        <v>14</v>
      </c>
      <c r="L42" s="6"/>
    </row>
    <row r="43" spans="1:12" ht="22.5" hidden="1" customHeight="1" x14ac:dyDescent="0.15">
      <c r="A43" s="42">
        <v>46132</v>
      </c>
      <c r="B43" s="6" t="s">
        <v>34</v>
      </c>
      <c r="C43" s="6" t="s">
        <v>12</v>
      </c>
      <c r="D43" s="6" t="s">
        <v>568</v>
      </c>
      <c r="E43" s="43" t="s">
        <v>570</v>
      </c>
      <c r="F43" s="47" t="s">
        <v>579</v>
      </c>
      <c r="G43" s="44">
        <v>3000000</v>
      </c>
      <c r="H43" s="44">
        <v>15000</v>
      </c>
      <c r="I43" s="43" t="s">
        <v>566</v>
      </c>
      <c r="J43" s="43" t="s">
        <v>567</v>
      </c>
      <c r="K43" s="6" t="s">
        <v>14</v>
      </c>
      <c r="L43" s="6"/>
    </row>
    <row r="44" spans="1:12" ht="22.5" hidden="1" customHeight="1" x14ac:dyDescent="0.15">
      <c r="A44" s="42">
        <v>46132</v>
      </c>
      <c r="B44" s="6" t="s">
        <v>34</v>
      </c>
      <c r="C44" s="6" t="s">
        <v>12</v>
      </c>
      <c r="D44" s="6" t="s">
        <v>571</v>
      </c>
      <c r="E44" s="43" t="s">
        <v>569</v>
      </c>
      <c r="F44" s="47" t="s">
        <v>579</v>
      </c>
      <c r="G44" s="44">
        <v>3000000</v>
      </c>
      <c r="H44" s="44">
        <v>15000</v>
      </c>
      <c r="I44" s="43" t="s">
        <v>566</v>
      </c>
      <c r="J44" s="43" t="s">
        <v>567</v>
      </c>
      <c r="K44" s="6" t="s">
        <v>14</v>
      </c>
      <c r="L44" s="6"/>
    </row>
    <row r="45" spans="1:12" ht="22.5" hidden="1" customHeight="1" x14ac:dyDescent="0.15">
      <c r="A45" s="42">
        <v>46132</v>
      </c>
      <c r="B45" s="6" t="s">
        <v>34</v>
      </c>
      <c r="C45" s="6" t="s">
        <v>12</v>
      </c>
      <c r="D45" s="6" t="s">
        <v>571</v>
      </c>
      <c r="E45" s="43" t="s">
        <v>570</v>
      </c>
      <c r="F45" s="47" t="s">
        <v>579</v>
      </c>
      <c r="G45" s="44">
        <v>3000000</v>
      </c>
      <c r="H45" s="44">
        <v>15000</v>
      </c>
      <c r="I45" s="43" t="s">
        <v>566</v>
      </c>
      <c r="J45" s="43" t="s">
        <v>567</v>
      </c>
      <c r="K45" s="6" t="s">
        <v>14</v>
      </c>
      <c r="L45" s="6"/>
    </row>
    <row r="46" spans="1:12" ht="22.5" hidden="1" customHeight="1" x14ac:dyDescent="0.15">
      <c r="A46" s="42">
        <v>46132</v>
      </c>
      <c r="B46" s="6" t="s">
        <v>34</v>
      </c>
      <c r="C46" s="6" t="s">
        <v>12</v>
      </c>
      <c r="D46" s="6" t="s">
        <v>575</v>
      </c>
      <c r="E46" s="43" t="s">
        <v>565</v>
      </c>
      <c r="F46" s="47" t="s">
        <v>579</v>
      </c>
      <c r="G46" s="44">
        <v>3000000</v>
      </c>
      <c r="H46" s="44">
        <v>15000</v>
      </c>
      <c r="I46" s="43" t="s">
        <v>566</v>
      </c>
      <c r="J46" s="43" t="s">
        <v>567</v>
      </c>
      <c r="K46" s="6" t="s">
        <v>14</v>
      </c>
      <c r="L46" s="6"/>
    </row>
    <row r="47" spans="1:12" ht="22.5" hidden="1" customHeight="1" x14ac:dyDescent="0.15">
      <c r="A47" s="42">
        <v>46132</v>
      </c>
      <c r="B47" s="6" t="s">
        <v>34</v>
      </c>
      <c r="C47" s="6" t="s">
        <v>12</v>
      </c>
      <c r="D47" s="6" t="s">
        <v>576</v>
      </c>
      <c r="E47" s="43" t="s">
        <v>565</v>
      </c>
      <c r="F47" s="47" t="s">
        <v>579</v>
      </c>
      <c r="G47" s="44">
        <v>3000000</v>
      </c>
      <c r="H47" s="44">
        <v>15000</v>
      </c>
      <c r="I47" s="43" t="s">
        <v>566</v>
      </c>
      <c r="J47" s="43" t="s">
        <v>567</v>
      </c>
      <c r="K47" s="6" t="s">
        <v>14</v>
      </c>
      <c r="L47" s="6"/>
    </row>
    <row r="48" spans="1:12" ht="22.5" hidden="1" customHeight="1" x14ac:dyDescent="0.15">
      <c r="A48" s="42">
        <v>46132</v>
      </c>
      <c r="B48" s="6" t="s">
        <v>34</v>
      </c>
      <c r="C48" s="6" t="s">
        <v>12</v>
      </c>
      <c r="D48" s="48" t="s">
        <v>577</v>
      </c>
      <c r="E48" s="43" t="s">
        <v>565</v>
      </c>
      <c r="F48" s="47" t="s">
        <v>579</v>
      </c>
      <c r="G48" s="44">
        <v>3000000</v>
      </c>
      <c r="H48" s="44">
        <v>15000</v>
      </c>
      <c r="I48" s="43" t="s">
        <v>566</v>
      </c>
      <c r="J48" s="43" t="s">
        <v>567</v>
      </c>
      <c r="K48" s="6" t="s">
        <v>14</v>
      </c>
      <c r="L48" s="6"/>
    </row>
    <row r="49" spans="1:12" ht="22.5" hidden="1" customHeight="1" x14ac:dyDescent="0.15">
      <c r="A49" s="42">
        <v>46132</v>
      </c>
      <c r="B49" s="6" t="s">
        <v>34</v>
      </c>
      <c r="C49" s="6" t="s">
        <v>12</v>
      </c>
      <c r="D49" s="48" t="s">
        <v>574</v>
      </c>
      <c r="E49" s="43" t="s">
        <v>565</v>
      </c>
      <c r="F49" s="47" t="s">
        <v>579</v>
      </c>
      <c r="G49" s="44">
        <v>3000000</v>
      </c>
      <c r="H49" s="44">
        <v>15000</v>
      </c>
      <c r="I49" s="43" t="s">
        <v>566</v>
      </c>
      <c r="J49" s="43" t="s">
        <v>567</v>
      </c>
      <c r="K49" s="6" t="s">
        <v>14</v>
      </c>
      <c r="L49" s="6"/>
    </row>
    <row r="50" spans="1:12" ht="22.5" hidden="1" customHeight="1" x14ac:dyDescent="0.15">
      <c r="A50" s="42">
        <v>46132</v>
      </c>
      <c r="B50" s="6" t="s">
        <v>36</v>
      </c>
      <c r="C50" s="6" t="s">
        <v>12</v>
      </c>
      <c r="D50" s="48" t="s">
        <v>564</v>
      </c>
      <c r="E50" s="43" t="s">
        <v>565</v>
      </c>
      <c r="F50" s="47"/>
      <c r="G50" s="44">
        <v>20000000</v>
      </c>
      <c r="H50" s="44">
        <v>90000</v>
      </c>
      <c r="I50" s="43" t="s">
        <v>566</v>
      </c>
      <c r="J50" s="43" t="s">
        <v>567</v>
      </c>
      <c r="K50" s="6" t="s">
        <v>14</v>
      </c>
      <c r="L50" s="6" t="s">
        <v>580</v>
      </c>
    </row>
    <row r="51" spans="1:12" ht="22.5" hidden="1" customHeight="1" x14ac:dyDescent="0.15">
      <c r="A51" s="42">
        <v>46132</v>
      </c>
      <c r="B51" s="6" t="s">
        <v>36</v>
      </c>
      <c r="C51" s="6" t="s">
        <v>12</v>
      </c>
      <c r="D51" s="48" t="s">
        <v>571</v>
      </c>
      <c r="E51" s="43" t="s">
        <v>565</v>
      </c>
      <c r="F51" s="47"/>
      <c r="G51" s="44">
        <v>20000000</v>
      </c>
      <c r="H51" s="44">
        <v>90000</v>
      </c>
      <c r="I51" s="43" t="s">
        <v>566</v>
      </c>
      <c r="J51" s="43" t="s">
        <v>567</v>
      </c>
      <c r="K51" s="6" t="s">
        <v>14</v>
      </c>
      <c r="L51" s="6" t="s">
        <v>581</v>
      </c>
    </row>
    <row r="52" spans="1:12" ht="22.5" hidden="1" customHeight="1" x14ac:dyDescent="0.15">
      <c r="A52" s="42">
        <v>46132</v>
      </c>
      <c r="B52" s="6" t="s">
        <v>36</v>
      </c>
      <c r="C52" s="6" t="s">
        <v>12</v>
      </c>
      <c r="D52" s="48" t="s">
        <v>575</v>
      </c>
      <c r="E52" s="43" t="s">
        <v>565</v>
      </c>
      <c r="F52" s="47"/>
      <c r="G52" s="44">
        <v>20000000</v>
      </c>
      <c r="H52" s="44">
        <v>90000</v>
      </c>
      <c r="I52" s="43" t="s">
        <v>566</v>
      </c>
      <c r="J52" s="43" t="s">
        <v>567</v>
      </c>
      <c r="K52" s="6" t="s">
        <v>14</v>
      </c>
      <c r="L52" s="6" t="s">
        <v>582</v>
      </c>
    </row>
    <row r="53" spans="1:12" ht="22.5" hidden="1" customHeight="1" x14ac:dyDescent="0.15">
      <c r="A53" s="42">
        <v>46132</v>
      </c>
      <c r="B53" s="6" t="s">
        <v>36</v>
      </c>
      <c r="C53" s="6" t="s">
        <v>12</v>
      </c>
      <c r="D53" s="48" t="s">
        <v>576</v>
      </c>
      <c r="E53" s="43" t="s">
        <v>565</v>
      </c>
      <c r="F53" s="47"/>
      <c r="G53" s="44">
        <v>20000000</v>
      </c>
      <c r="H53" s="44">
        <v>90000</v>
      </c>
      <c r="I53" s="43" t="s">
        <v>566</v>
      </c>
      <c r="J53" s="43" t="s">
        <v>567</v>
      </c>
      <c r="K53" s="6" t="s">
        <v>14</v>
      </c>
      <c r="L53" s="6" t="s">
        <v>583</v>
      </c>
    </row>
    <row r="54" spans="1:12" ht="22.5" hidden="1" customHeight="1" x14ac:dyDescent="0.15">
      <c r="A54" s="42">
        <v>46132</v>
      </c>
      <c r="B54" s="6" t="s">
        <v>36</v>
      </c>
      <c r="C54" s="6" t="s">
        <v>12</v>
      </c>
      <c r="D54" s="48" t="s">
        <v>577</v>
      </c>
      <c r="E54" s="43" t="s">
        <v>565</v>
      </c>
      <c r="F54" s="47"/>
      <c r="G54" s="44">
        <v>20000000</v>
      </c>
      <c r="H54" s="44">
        <v>90000</v>
      </c>
      <c r="I54" s="43" t="s">
        <v>566</v>
      </c>
      <c r="J54" s="43" t="s">
        <v>567</v>
      </c>
      <c r="K54" s="6" t="s">
        <v>14</v>
      </c>
      <c r="L54" s="6" t="s">
        <v>584</v>
      </c>
    </row>
    <row r="55" spans="1:12" ht="22.5" customHeight="1" x14ac:dyDescent="0.15">
      <c r="A55" s="42">
        <v>46132</v>
      </c>
      <c r="B55" s="6" t="s">
        <v>36</v>
      </c>
      <c r="C55" s="6" t="s">
        <v>12</v>
      </c>
      <c r="D55" s="48" t="s">
        <v>572</v>
      </c>
      <c r="E55" s="43" t="s">
        <v>565</v>
      </c>
      <c r="F55" s="47"/>
      <c r="G55" s="44">
        <v>20000000</v>
      </c>
      <c r="H55" s="44">
        <v>90000</v>
      </c>
      <c r="I55" s="43" t="s">
        <v>566</v>
      </c>
      <c r="J55" s="43" t="s">
        <v>567</v>
      </c>
      <c r="K55" s="6" t="s">
        <v>14</v>
      </c>
      <c r="L55" s="6" t="s">
        <v>585</v>
      </c>
    </row>
    <row r="56" spans="1:12" ht="22.5" hidden="1" customHeight="1" x14ac:dyDescent="0.15">
      <c r="A56" s="42">
        <v>46132</v>
      </c>
      <c r="B56" s="6" t="s">
        <v>36</v>
      </c>
      <c r="C56" s="6" t="s">
        <v>12</v>
      </c>
      <c r="D56" s="48" t="s">
        <v>574</v>
      </c>
      <c r="E56" s="43" t="s">
        <v>565</v>
      </c>
      <c r="F56" s="47"/>
      <c r="G56" s="44">
        <v>20000000</v>
      </c>
      <c r="H56" s="44">
        <v>90000</v>
      </c>
      <c r="I56" s="43" t="s">
        <v>566</v>
      </c>
      <c r="J56" s="43" t="s">
        <v>567</v>
      </c>
      <c r="K56" s="6" t="s">
        <v>14</v>
      </c>
      <c r="L56" s="6"/>
    </row>
    <row r="57" spans="1:12" ht="22.5" hidden="1" customHeight="1" x14ac:dyDescent="0.15">
      <c r="A57" s="42">
        <v>46132</v>
      </c>
      <c r="B57" s="6" t="s">
        <v>38</v>
      </c>
      <c r="C57" s="6" t="s">
        <v>12</v>
      </c>
      <c r="D57" s="48" t="s">
        <v>568</v>
      </c>
      <c r="E57" s="43" t="s">
        <v>570</v>
      </c>
      <c r="F57" s="6"/>
      <c r="G57" s="44">
        <v>700000</v>
      </c>
      <c r="H57" s="44">
        <v>18000</v>
      </c>
      <c r="I57" s="43" t="s">
        <v>566</v>
      </c>
      <c r="J57" s="43" t="s">
        <v>567</v>
      </c>
      <c r="K57" s="6" t="s">
        <v>14</v>
      </c>
      <c r="L57" s="47"/>
    </row>
    <row r="58" spans="1:12" ht="22.5" hidden="1" customHeight="1" x14ac:dyDescent="0.15">
      <c r="A58" s="42">
        <v>46132</v>
      </c>
      <c r="B58" s="6" t="s">
        <v>38</v>
      </c>
      <c r="C58" s="6" t="s">
        <v>12</v>
      </c>
      <c r="D58" s="48" t="s">
        <v>571</v>
      </c>
      <c r="E58" s="6" t="s">
        <v>570</v>
      </c>
      <c r="F58" s="6"/>
      <c r="G58" s="44">
        <v>700000</v>
      </c>
      <c r="H58" s="44">
        <v>18000</v>
      </c>
      <c r="I58" s="43" t="s">
        <v>566</v>
      </c>
      <c r="J58" s="43" t="s">
        <v>567</v>
      </c>
      <c r="K58" s="6" t="s">
        <v>14</v>
      </c>
      <c r="L58" s="47"/>
    </row>
    <row r="59" spans="1:12" ht="22.5" customHeight="1" x14ac:dyDescent="0.15">
      <c r="A59" s="42">
        <v>46132</v>
      </c>
      <c r="B59" s="6" t="s">
        <v>38</v>
      </c>
      <c r="C59" s="6" t="s">
        <v>12</v>
      </c>
      <c r="D59" s="48" t="s">
        <v>572</v>
      </c>
      <c r="E59" s="6" t="s">
        <v>569</v>
      </c>
      <c r="F59" s="6"/>
      <c r="G59" s="44">
        <v>700000</v>
      </c>
      <c r="H59" s="44">
        <v>18000</v>
      </c>
      <c r="I59" s="43" t="s">
        <v>566</v>
      </c>
      <c r="J59" s="43" t="s">
        <v>567</v>
      </c>
      <c r="K59" s="6" t="s">
        <v>14</v>
      </c>
      <c r="L59" s="47"/>
    </row>
    <row r="60" spans="1:12" ht="22.5" customHeight="1" x14ac:dyDescent="0.15">
      <c r="A60" s="42">
        <v>46132</v>
      </c>
      <c r="B60" s="6" t="s">
        <v>38</v>
      </c>
      <c r="C60" s="6" t="s">
        <v>12</v>
      </c>
      <c r="D60" s="6" t="s">
        <v>572</v>
      </c>
      <c r="E60" s="6" t="s">
        <v>570</v>
      </c>
      <c r="F60" s="47"/>
      <c r="G60" s="44">
        <v>700000</v>
      </c>
      <c r="H60" s="44">
        <v>18000</v>
      </c>
      <c r="I60" s="43" t="s">
        <v>566</v>
      </c>
      <c r="J60" s="43" t="s">
        <v>567</v>
      </c>
      <c r="K60" s="6" t="s">
        <v>14</v>
      </c>
      <c r="L60" s="6"/>
    </row>
    <row r="61" spans="1:12" ht="22.5" hidden="1" customHeight="1" x14ac:dyDescent="0.15">
      <c r="A61" s="42">
        <v>46132</v>
      </c>
      <c r="B61" s="6" t="s">
        <v>38</v>
      </c>
      <c r="C61" s="6" t="s">
        <v>12</v>
      </c>
      <c r="D61" s="48" t="s">
        <v>574</v>
      </c>
      <c r="E61" s="43" t="s">
        <v>565</v>
      </c>
      <c r="F61" s="47"/>
      <c r="G61" s="44">
        <v>700000</v>
      </c>
      <c r="H61" s="44">
        <v>18000</v>
      </c>
      <c r="I61" s="43" t="s">
        <v>566</v>
      </c>
      <c r="J61" s="43" t="s">
        <v>567</v>
      </c>
      <c r="K61" s="6" t="s">
        <v>14</v>
      </c>
      <c r="L61" s="6"/>
    </row>
    <row r="62" spans="1:12" ht="22.5" hidden="1" customHeight="1" x14ac:dyDescent="0.15">
      <c r="A62" s="42">
        <v>46132</v>
      </c>
      <c r="B62" s="6" t="s">
        <v>41</v>
      </c>
      <c r="C62" s="6" t="s">
        <v>12</v>
      </c>
      <c r="D62" s="48" t="s">
        <v>568</v>
      </c>
      <c r="E62" s="43" t="s">
        <v>569</v>
      </c>
      <c r="F62" s="47"/>
      <c r="G62" s="44">
        <v>750000</v>
      </c>
      <c r="H62" s="44">
        <v>9000</v>
      </c>
      <c r="I62" s="43" t="s">
        <v>566</v>
      </c>
      <c r="J62" s="43" t="s">
        <v>567</v>
      </c>
      <c r="K62" s="6" t="s">
        <v>14</v>
      </c>
      <c r="L62" s="6" t="s">
        <v>586</v>
      </c>
    </row>
    <row r="63" spans="1:12" ht="22.5" hidden="1" customHeight="1" x14ac:dyDescent="0.15">
      <c r="A63" s="42">
        <v>46132</v>
      </c>
      <c r="B63" s="6" t="s">
        <v>41</v>
      </c>
      <c r="C63" s="6" t="s">
        <v>12</v>
      </c>
      <c r="D63" s="48" t="s">
        <v>568</v>
      </c>
      <c r="E63" s="43" t="s">
        <v>570</v>
      </c>
      <c r="G63" s="44">
        <v>750000</v>
      </c>
      <c r="H63" s="44">
        <v>9000</v>
      </c>
      <c r="I63" s="43" t="s">
        <v>566</v>
      </c>
      <c r="J63" s="43" t="s">
        <v>567</v>
      </c>
      <c r="K63" s="6" t="s">
        <v>14</v>
      </c>
    </row>
    <row r="64" spans="1:12" ht="22.5" hidden="1" customHeight="1" x14ac:dyDescent="0.15">
      <c r="A64" s="42">
        <v>46132</v>
      </c>
      <c r="B64" s="6" t="s">
        <v>41</v>
      </c>
      <c r="C64" s="6" t="s">
        <v>12</v>
      </c>
      <c r="D64" s="48" t="s">
        <v>571</v>
      </c>
      <c r="E64" s="43" t="s">
        <v>570</v>
      </c>
      <c r="F64" s="47"/>
      <c r="G64" s="44">
        <v>750000</v>
      </c>
      <c r="H64" s="44">
        <v>9000</v>
      </c>
      <c r="I64" s="43" t="s">
        <v>566</v>
      </c>
      <c r="J64" s="43" t="s">
        <v>567</v>
      </c>
      <c r="K64" s="6" t="s">
        <v>14</v>
      </c>
      <c r="L64" s="6"/>
    </row>
    <row r="65" spans="1:12" ht="22.5" hidden="1" customHeight="1" x14ac:dyDescent="0.15">
      <c r="A65" s="42">
        <v>46132</v>
      </c>
      <c r="B65" s="6" t="s">
        <v>41</v>
      </c>
      <c r="C65" s="6" t="s">
        <v>12</v>
      </c>
      <c r="D65" s="48" t="s">
        <v>574</v>
      </c>
      <c r="E65" s="43" t="s">
        <v>565</v>
      </c>
      <c r="F65" s="47"/>
      <c r="G65" s="44">
        <v>750000</v>
      </c>
      <c r="H65" s="44">
        <v>9000</v>
      </c>
      <c r="I65" s="43" t="s">
        <v>566</v>
      </c>
      <c r="J65" s="43" t="s">
        <v>567</v>
      </c>
      <c r="K65" s="6" t="s">
        <v>14</v>
      </c>
      <c r="L65" s="6"/>
    </row>
    <row r="66" spans="1:12" ht="22.5" hidden="1" customHeight="1" x14ac:dyDescent="0.15">
      <c r="A66" s="42">
        <v>46132</v>
      </c>
      <c r="B66" s="6" t="s">
        <v>44</v>
      </c>
      <c r="C66" s="6" t="s">
        <v>12</v>
      </c>
      <c r="D66" s="48" t="s">
        <v>568</v>
      </c>
      <c r="E66" s="43" t="s">
        <v>569</v>
      </c>
      <c r="F66" s="47"/>
      <c r="G66" s="44">
        <v>1000000</v>
      </c>
      <c r="H66" s="44">
        <v>7000</v>
      </c>
      <c r="I66" s="43" t="s">
        <v>566</v>
      </c>
      <c r="J66" s="43" t="s">
        <v>567</v>
      </c>
      <c r="K66" s="6" t="s">
        <v>14</v>
      </c>
      <c r="L66" s="6"/>
    </row>
    <row r="67" spans="1:12" ht="22.5" hidden="1" customHeight="1" x14ac:dyDescent="0.15">
      <c r="A67" s="42">
        <v>46132</v>
      </c>
      <c r="B67" s="6" t="s">
        <v>44</v>
      </c>
      <c r="C67" s="6" t="s">
        <v>12</v>
      </c>
      <c r="D67" s="48" t="s">
        <v>571</v>
      </c>
      <c r="E67" s="43" t="s">
        <v>565</v>
      </c>
      <c r="F67" s="47"/>
      <c r="G67" s="44">
        <v>1000000</v>
      </c>
      <c r="H67" s="44">
        <v>7000</v>
      </c>
      <c r="I67" s="43" t="s">
        <v>566</v>
      </c>
      <c r="J67" s="43" t="s">
        <v>567</v>
      </c>
      <c r="K67" s="6" t="s">
        <v>14</v>
      </c>
      <c r="L67" s="6"/>
    </row>
    <row r="68" spans="1:12" ht="22.5" hidden="1" customHeight="1" x14ac:dyDescent="0.15">
      <c r="A68" s="42">
        <v>46132</v>
      </c>
      <c r="B68" s="6" t="s">
        <v>44</v>
      </c>
      <c r="C68" s="6" t="s">
        <v>12</v>
      </c>
      <c r="D68" s="48" t="s">
        <v>575</v>
      </c>
      <c r="E68" s="43" t="s">
        <v>565</v>
      </c>
      <c r="F68" s="47"/>
      <c r="G68" s="44">
        <v>1000000</v>
      </c>
      <c r="H68" s="44">
        <v>7000</v>
      </c>
      <c r="I68" s="43" t="s">
        <v>566</v>
      </c>
      <c r="J68" s="43" t="s">
        <v>567</v>
      </c>
      <c r="K68" s="6" t="s">
        <v>14</v>
      </c>
      <c r="L68" s="6"/>
    </row>
    <row r="69" spans="1:12" ht="22.5" hidden="1" customHeight="1" x14ac:dyDescent="0.15">
      <c r="A69" s="42">
        <v>46132</v>
      </c>
      <c r="B69" s="6" t="s">
        <v>44</v>
      </c>
      <c r="C69" s="6" t="s">
        <v>12</v>
      </c>
      <c r="D69" s="48" t="s">
        <v>576</v>
      </c>
      <c r="E69" s="43" t="s">
        <v>565</v>
      </c>
      <c r="F69" s="47"/>
      <c r="G69" s="44">
        <v>1000000</v>
      </c>
      <c r="H69" s="44">
        <v>7000</v>
      </c>
      <c r="I69" s="43" t="s">
        <v>566</v>
      </c>
      <c r="J69" s="43" t="s">
        <v>567</v>
      </c>
      <c r="K69" s="6" t="s">
        <v>14</v>
      </c>
      <c r="L69" s="6"/>
    </row>
    <row r="70" spans="1:12" ht="22.5" customHeight="1" x14ac:dyDescent="0.15">
      <c r="A70" s="42">
        <v>46132</v>
      </c>
      <c r="B70" s="6" t="s">
        <v>44</v>
      </c>
      <c r="C70" s="6" t="s">
        <v>12</v>
      </c>
      <c r="D70" s="48" t="s">
        <v>572</v>
      </c>
      <c r="E70" s="43" t="s">
        <v>569</v>
      </c>
      <c r="F70" s="47"/>
      <c r="G70" s="44">
        <v>1000000</v>
      </c>
      <c r="H70" s="44">
        <v>7000</v>
      </c>
      <c r="I70" s="43" t="s">
        <v>566</v>
      </c>
      <c r="J70" s="43" t="s">
        <v>567</v>
      </c>
      <c r="K70" s="6" t="s">
        <v>14</v>
      </c>
      <c r="L70" s="6"/>
    </row>
    <row r="71" spans="1:12" ht="22.5" hidden="1" customHeight="1" x14ac:dyDescent="0.15">
      <c r="A71" s="42">
        <v>46132</v>
      </c>
      <c r="B71" s="6" t="s">
        <v>44</v>
      </c>
      <c r="C71" s="6" t="s">
        <v>12</v>
      </c>
      <c r="D71" s="48" t="s">
        <v>574</v>
      </c>
      <c r="E71" s="43" t="s">
        <v>565</v>
      </c>
      <c r="F71" s="47"/>
      <c r="G71" s="44">
        <v>1000000</v>
      </c>
      <c r="H71" s="44">
        <v>7000</v>
      </c>
      <c r="I71" s="43" t="s">
        <v>566</v>
      </c>
      <c r="J71" s="43" t="s">
        <v>567</v>
      </c>
      <c r="K71" s="6" t="s">
        <v>14</v>
      </c>
      <c r="L71" s="6"/>
    </row>
    <row r="72" spans="1:12" ht="22.5" hidden="1" customHeight="1" x14ac:dyDescent="0.15">
      <c r="A72" s="42">
        <v>46132</v>
      </c>
      <c r="B72" s="10" t="s">
        <v>47</v>
      </c>
      <c r="C72" s="6" t="s">
        <v>12</v>
      </c>
      <c r="D72" s="48" t="s">
        <v>568</v>
      </c>
      <c r="E72" s="43" t="s">
        <v>570</v>
      </c>
      <c r="F72" s="47"/>
      <c r="G72" s="44">
        <v>3000000</v>
      </c>
      <c r="H72" s="44">
        <v>11000</v>
      </c>
      <c r="I72" s="43" t="s">
        <v>566</v>
      </c>
      <c r="J72" s="43" t="s">
        <v>567</v>
      </c>
      <c r="K72" s="6" t="s">
        <v>14</v>
      </c>
      <c r="L72" s="6"/>
    </row>
    <row r="73" spans="1:12" ht="22.5" hidden="1" customHeight="1" x14ac:dyDescent="0.15">
      <c r="A73" s="42">
        <v>46132</v>
      </c>
      <c r="B73" s="10" t="s">
        <v>47</v>
      </c>
      <c r="C73" s="6" t="s">
        <v>12</v>
      </c>
      <c r="D73" s="48" t="s">
        <v>575</v>
      </c>
      <c r="E73" s="43" t="s">
        <v>565</v>
      </c>
      <c r="F73" s="47"/>
      <c r="G73" s="44">
        <v>3000000</v>
      </c>
      <c r="H73" s="44">
        <v>11000</v>
      </c>
      <c r="I73" s="43" t="s">
        <v>566</v>
      </c>
      <c r="J73" s="43" t="s">
        <v>567</v>
      </c>
      <c r="K73" s="6" t="s">
        <v>14</v>
      </c>
      <c r="L73" s="6"/>
    </row>
    <row r="74" spans="1:12" ht="22.5" hidden="1" customHeight="1" x14ac:dyDescent="0.15">
      <c r="A74" s="42">
        <v>46132</v>
      </c>
      <c r="B74" s="10" t="s">
        <v>47</v>
      </c>
      <c r="C74" s="6" t="s">
        <v>12</v>
      </c>
      <c r="D74" s="48" t="s">
        <v>576</v>
      </c>
      <c r="E74" s="43" t="s">
        <v>565</v>
      </c>
      <c r="F74" s="47"/>
      <c r="G74" s="44">
        <v>3000000</v>
      </c>
      <c r="H74" s="44">
        <v>11000</v>
      </c>
      <c r="I74" s="43" t="s">
        <v>566</v>
      </c>
      <c r="J74" s="43" t="s">
        <v>567</v>
      </c>
      <c r="K74" s="6" t="s">
        <v>14</v>
      </c>
      <c r="L74" s="6"/>
    </row>
    <row r="75" spans="1:12" ht="22.5" hidden="1" customHeight="1" x14ac:dyDescent="0.15">
      <c r="A75" s="42">
        <v>46132</v>
      </c>
      <c r="B75" s="10" t="s">
        <v>47</v>
      </c>
      <c r="C75" s="6" t="s">
        <v>12</v>
      </c>
      <c r="D75" s="48" t="s">
        <v>577</v>
      </c>
      <c r="E75" s="43" t="s">
        <v>565</v>
      </c>
      <c r="F75" s="47"/>
      <c r="G75" s="44">
        <v>3000000</v>
      </c>
      <c r="H75" s="44">
        <v>11000</v>
      </c>
      <c r="I75" s="43" t="s">
        <v>566</v>
      </c>
      <c r="J75" s="43" t="s">
        <v>567</v>
      </c>
      <c r="K75" s="6" t="s">
        <v>14</v>
      </c>
      <c r="L75" s="6"/>
    </row>
    <row r="76" spans="1:12" ht="22.5" hidden="1" customHeight="1" x14ac:dyDescent="0.15">
      <c r="A76" s="42">
        <v>46132</v>
      </c>
      <c r="B76" s="10" t="s">
        <v>49</v>
      </c>
      <c r="C76" s="6" t="s">
        <v>12</v>
      </c>
      <c r="D76" s="48" t="s">
        <v>578</v>
      </c>
      <c r="E76" s="43" t="s">
        <v>569</v>
      </c>
      <c r="F76" s="47"/>
      <c r="G76" s="44">
        <v>12000000</v>
      </c>
      <c r="H76" s="44">
        <v>20000</v>
      </c>
      <c r="I76" s="43" t="s">
        <v>566</v>
      </c>
      <c r="J76" s="43" t="s">
        <v>567</v>
      </c>
      <c r="K76" s="6" t="s">
        <v>14</v>
      </c>
      <c r="L76" s="6" t="s">
        <v>586</v>
      </c>
    </row>
    <row r="77" spans="1:12" ht="22.5" hidden="1" customHeight="1" x14ac:dyDescent="0.15">
      <c r="A77" s="42">
        <v>46132</v>
      </c>
      <c r="B77" s="10" t="s">
        <v>49</v>
      </c>
      <c r="C77" s="6" t="s">
        <v>12</v>
      </c>
      <c r="D77" s="48" t="s">
        <v>578</v>
      </c>
      <c r="E77" s="43" t="s">
        <v>570</v>
      </c>
      <c r="F77" s="47"/>
      <c r="G77" s="44">
        <v>12000000</v>
      </c>
      <c r="H77" s="44">
        <v>20000</v>
      </c>
      <c r="I77" s="43" t="s">
        <v>566</v>
      </c>
      <c r="J77" s="43" t="s">
        <v>567</v>
      </c>
      <c r="K77" s="6" t="s">
        <v>14</v>
      </c>
      <c r="L77" s="6"/>
    </row>
    <row r="78" spans="1:12" ht="22.5" hidden="1" customHeight="1" x14ac:dyDescent="0.15">
      <c r="A78" s="42">
        <v>46132</v>
      </c>
      <c r="B78" s="10" t="s">
        <v>49</v>
      </c>
      <c r="C78" s="6" t="s">
        <v>12</v>
      </c>
      <c r="D78" s="6" t="s">
        <v>571</v>
      </c>
      <c r="E78" s="6" t="s">
        <v>565</v>
      </c>
      <c r="F78" s="47"/>
      <c r="G78" s="44">
        <v>12000000</v>
      </c>
      <c r="H78" s="44">
        <v>20000</v>
      </c>
      <c r="I78" s="43" t="s">
        <v>566</v>
      </c>
      <c r="J78" s="43" t="s">
        <v>567</v>
      </c>
      <c r="K78" s="6" t="s">
        <v>14</v>
      </c>
      <c r="L78" s="6"/>
    </row>
    <row r="79" spans="1:12" ht="22.5" hidden="1" customHeight="1" x14ac:dyDescent="0.15">
      <c r="A79" s="42">
        <v>46132</v>
      </c>
      <c r="B79" s="10" t="s">
        <v>49</v>
      </c>
      <c r="C79" s="6" t="s">
        <v>12</v>
      </c>
      <c r="D79" s="6" t="s">
        <v>577</v>
      </c>
      <c r="E79" s="6" t="s">
        <v>565</v>
      </c>
      <c r="F79" s="47"/>
      <c r="G79" s="44">
        <v>12000000</v>
      </c>
      <c r="H79" s="44">
        <v>20000</v>
      </c>
      <c r="I79" s="43" t="s">
        <v>566</v>
      </c>
      <c r="J79" s="43" t="s">
        <v>567</v>
      </c>
      <c r="K79" s="6" t="s">
        <v>14</v>
      </c>
      <c r="L79" s="6"/>
    </row>
    <row r="80" spans="1:12" ht="22.5" customHeight="1" x14ac:dyDescent="0.15">
      <c r="A80" s="42">
        <v>46132</v>
      </c>
      <c r="B80" s="10" t="s">
        <v>49</v>
      </c>
      <c r="C80" s="6" t="s">
        <v>12</v>
      </c>
      <c r="D80" s="6" t="s">
        <v>572</v>
      </c>
      <c r="E80" s="6" t="s">
        <v>569</v>
      </c>
      <c r="F80" s="47"/>
      <c r="G80" s="44">
        <v>12000000</v>
      </c>
      <c r="H80" s="44">
        <v>20000</v>
      </c>
      <c r="I80" s="43" t="s">
        <v>566</v>
      </c>
      <c r="J80" s="43" t="s">
        <v>567</v>
      </c>
      <c r="K80" s="6" t="s">
        <v>14</v>
      </c>
      <c r="L80" s="6" t="s">
        <v>587</v>
      </c>
    </row>
    <row r="81" spans="1:12" ht="22.5" hidden="1" customHeight="1" x14ac:dyDescent="0.15">
      <c r="A81" s="42">
        <v>46132</v>
      </c>
      <c r="B81" s="10" t="s">
        <v>49</v>
      </c>
      <c r="C81" s="6" t="s">
        <v>12</v>
      </c>
      <c r="D81" s="48" t="s">
        <v>568</v>
      </c>
      <c r="E81" s="43" t="s">
        <v>570</v>
      </c>
      <c r="F81" s="47"/>
      <c r="G81" s="44">
        <v>27000000</v>
      </c>
      <c r="H81" s="44">
        <v>80000</v>
      </c>
      <c r="I81" s="43" t="s">
        <v>566</v>
      </c>
      <c r="J81" s="43" t="s">
        <v>567</v>
      </c>
      <c r="K81" s="6" t="s">
        <v>14</v>
      </c>
      <c r="L81" s="6" t="s">
        <v>588</v>
      </c>
    </row>
    <row r="82" spans="1:12" ht="22.5" hidden="1" customHeight="1" x14ac:dyDescent="0.15">
      <c r="A82" s="42">
        <v>46132</v>
      </c>
      <c r="B82" s="4" t="s">
        <v>51</v>
      </c>
      <c r="C82" s="6" t="s">
        <v>12</v>
      </c>
      <c r="D82" s="48" t="s">
        <v>571</v>
      </c>
      <c r="E82" s="43" t="s">
        <v>569</v>
      </c>
      <c r="F82" s="47"/>
      <c r="G82" s="44">
        <v>27000000</v>
      </c>
      <c r="H82" s="44">
        <v>80000</v>
      </c>
      <c r="I82" s="43" t="s">
        <v>566</v>
      </c>
      <c r="J82" s="43" t="s">
        <v>567</v>
      </c>
      <c r="K82" s="6" t="s">
        <v>14</v>
      </c>
      <c r="L82" s="6" t="s">
        <v>589</v>
      </c>
    </row>
    <row r="83" spans="1:12" ht="22.5" hidden="1" customHeight="1" x14ac:dyDescent="0.15">
      <c r="A83" s="42">
        <v>46132</v>
      </c>
      <c r="B83" s="4" t="s">
        <v>51</v>
      </c>
      <c r="C83" s="6" t="s">
        <v>12</v>
      </c>
      <c r="D83" s="48" t="s">
        <v>571</v>
      </c>
      <c r="E83" s="43" t="s">
        <v>570</v>
      </c>
      <c r="F83" s="47"/>
      <c r="G83" s="44">
        <v>27000000</v>
      </c>
      <c r="H83" s="44">
        <v>80000</v>
      </c>
      <c r="I83" s="43" t="s">
        <v>566</v>
      </c>
      <c r="J83" s="43" t="s">
        <v>567</v>
      </c>
      <c r="K83" s="6" t="s">
        <v>14</v>
      </c>
      <c r="L83" s="6"/>
    </row>
    <row r="84" spans="1:12" ht="22.5" hidden="1" customHeight="1" x14ac:dyDescent="0.15">
      <c r="A84" s="42">
        <v>46132</v>
      </c>
      <c r="B84" s="4" t="s">
        <v>51</v>
      </c>
      <c r="C84" s="6" t="s">
        <v>12</v>
      </c>
      <c r="D84" s="48" t="s">
        <v>575</v>
      </c>
      <c r="E84" s="43" t="s">
        <v>565</v>
      </c>
      <c r="F84" s="47"/>
      <c r="G84" s="44">
        <v>27000000</v>
      </c>
      <c r="H84" s="44">
        <v>80000</v>
      </c>
      <c r="I84" s="43" t="s">
        <v>566</v>
      </c>
      <c r="J84" s="43" t="s">
        <v>567</v>
      </c>
      <c r="K84" s="6" t="s">
        <v>14</v>
      </c>
      <c r="L84" s="6" t="s">
        <v>590</v>
      </c>
    </row>
    <row r="85" spans="1:12" ht="22.5" hidden="1" customHeight="1" x14ac:dyDescent="0.15">
      <c r="A85" s="42">
        <v>46132</v>
      </c>
      <c r="B85" s="4" t="s">
        <v>51</v>
      </c>
      <c r="C85" s="6" t="s">
        <v>12</v>
      </c>
      <c r="D85" s="48" t="s">
        <v>576</v>
      </c>
      <c r="E85" s="43" t="s">
        <v>565</v>
      </c>
      <c r="F85" s="47"/>
      <c r="G85" s="44">
        <v>27000000</v>
      </c>
      <c r="H85" s="44">
        <v>80000</v>
      </c>
      <c r="I85" s="43" t="s">
        <v>566</v>
      </c>
      <c r="J85" s="43" t="s">
        <v>567</v>
      </c>
      <c r="K85" s="6" t="s">
        <v>14</v>
      </c>
      <c r="L85" s="6" t="s">
        <v>591</v>
      </c>
    </row>
    <row r="86" spans="1:12" ht="22.5" customHeight="1" x14ac:dyDescent="0.15">
      <c r="A86" s="42">
        <v>46132</v>
      </c>
      <c r="B86" s="4" t="s">
        <v>51</v>
      </c>
      <c r="C86" s="6" t="s">
        <v>12</v>
      </c>
      <c r="D86" s="48" t="s">
        <v>572</v>
      </c>
      <c r="E86" s="43" t="s">
        <v>565</v>
      </c>
      <c r="F86" s="47"/>
      <c r="G86" s="44">
        <v>27000000</v>
      </c>
      <c r="H86" s="44">
        <v>80000</v>
      </c>
      <c r="I86" s="43" t="s">
        <v>566</v>
      </c>
      <c r="J86" s="43" t="s">
        <v>567</v>
      </c>
      <c r="K86" s="6" t="s">
        <v>14</v>
      </c>
      <c r="L86" s="6" t="s">
        <v>592</v>
      </c>
    </row>
    <row r="87" spans="1:12" ht="22.5" hidden="1" customHeight="1" x14ac:dyDescent="0.15">
      <c r="A87" s="42">
        <v>46132</v>
      </c>
      <c r="B87" s="4" t="s">
        <v>51</v>
      </c>
      <c r="C87" s="6" t="s">
        <v>12</v>
      </c>
      <c r="D87" s="48" t="s">
        <v>574</v>
      </c>
      <c r="E87" s="43" t="s">
        <v>565</v>
      </c>
      <c r="F87" s="47"/>
      <c r="G87" s="44">
        <v>27000000</v>
      </c>
      <c r="H87" s="44">
        <v>80000</v>
      </c>
      <c r="I87" s="43" t="s">
        <v>566</v>
      </c>
      <c r="J87" s="43" t="s">
        <v>567</v>
      </c>
      <c r="K87" s="6" t="s">
        <v>14</v>
      </c>
      <c r="L87" s="6" t="s">
        <v>593</v>
      </c>
    </row>
    <row r="88" spans="1:12" ht="22.5" hidden="1" customHeight="1" x14ac:dyDescent="0.15">
      <c r="A88" s="42">
        <v>46132</v>
      </c>
      <c r="B88" s="4" t="s">
        <v>53</v>
      </c>
      <c r="C88" s="6" t="s">
        <v>12</v>
      </c>
      <c r="D88" s="48" t="s">
        <v>568</v>
      </c>
      <c r="E88" s="43" t="s">
        <v>569</v>
      </c>
      <c r="F88" s="47" t="s">
        <v>594</v>
      </c>
      <c r="G88" s="44">
        <v>22200000</v>
      </c>
      <c r="H88" s="44">
        <v>75000</v>
      </c>
      <c r="I88" s="43" t="s">
        <v>566</v>
      </c>
      <c r="J88" s="43" t="s">
        <v>567</v>
      </c>
      <c r="K88" s="6" t="s">
        <v>14</v>
      </c>
      <c r="L88" s="6"/>
    </row>
    <row r="89" spans="1:12" ht="22.5" hidden="1" customHeight="1" x14ac:dyDescent="0.15">
      <c r="A89" s="42">
        <v>46132</v>
      </c>
      <c r="B89" s="4" t="s">
        <v>53</v>
      </c>
      <c r="C89" s="6" t="s">
        <v>12</v>
      </c>
      <c r="D89" s="48" t="s">
        <v>571</v>
      </c>
      <c r="E89" s="43" t="s">
        <v>565</v>
      </c>
      <c r="F89" s="47"/>
      <c r="G89" s="44">
        <v>22200000</v>
      </c>
      <c r="H89" s="44">
        <v>75000</v>
      </c>
      <c r="I89" s="43" t="s">
        <v>566</v>
      </c>
      <c r="J89" s="43" t="s">
        <v>567</v>
      </c>
      <c r="K89" s="6" t="s">
        <v>14</v>
      </c>
      <c r="L89" s="6" t="s">
        <v>595</v>
      </c>
    </row>
    <row r="90" spans="1:12" ht="22.5" hidden="1" customHeight="1" x14ac:dyDescent="0.15">
      <c r="A90" s="42">
        <v>46132</v>
      </c>
      <c r="B90" s="4" t="s">
        <v>53</v>
      </c>
      <c r="C90" s="6" t="s">
        <v>12</v>
      </c>
      <c r="D90" s="48" t="s">
        <v>575</v>
      </c>
      <c r="E90" s="43" t="s">
        <v>565</v>
      </c>
      <c r="F90" s="47"/>
      <c r="G90" s="44">
        <v>22200000</v>
      </c>
      <c r="H90" s="44">
        <v>75000</v>
      </c>
      <c r="I90" s="43" t="s">
        <v>566</v>
      </c>
      <c r="J90" s="43" t="s">
        <v>567</v>
      </c>
      <c r="K90" s="6" t="s">
        <v>14</v>
      </c>
      <c r="L90" s="6" t="s">
        <v>596</v>
      </c>
    </row>
    <row r="91" spans="1:12" ht="22.5" hidden="1" customHeight="1" x14ac:dyDescent="0.15">
      <c r="A91" s="42">
        <v>46132</v>
      </c>
      <c r="B91" s="4" t="s">
        <v>53</v>
      </c>
      <c r="C91" s="6" t="s">
        <v>12</v>
      </c>
      <c r="D91" s="48" t="s">
        <v>576</v>
      </c>
      <c r="E91" s="43" t="s">
        <v>565</v>
      </c>
      <c r="F91" s="47"/>
      <c r="G91" s="44">
        <v>22200000</v>
      </c>
      <c r="H91" s="44">
        <v>75000</v>
      </c>
      <c r="I91" s="43" t="s">
        <v>566</v>
      </c>
      <c r="J91" s="43" t="s">
        <v>567</v>
      </c>
      <c r="K91" s="6" t="s">
        <v>14</v>
      </c>
      <c r="L91" s="6" t="s">
        <v>597</v>
      </c>
    </row>
    <row r="92" spans="1:12" ht="22.5" customHeight="1" x14ac:dyDescent="0.15">
      <c r="A92" s="42">
        <v>46132</v>
      </c>
      <c r="B92" s="4" t="s">
        <v>53</v>
      </c>
      <c r="C92" s="6" t="s">
        <v>12</v>
      </c>
      <c r="D92" s="48" t="s">
        <v>572</v>
      </c>
      <c r="E92" s="43" t="s">
        <v>565</v>
      </c>
      <c r="F92" s="47"/>
      <c r="G92" s="44">
        <v>22200000</v>
      </c>
      <c r="H92" s="44">
        <v>75000</v>
      </c>
      <c r="I92" s="43" t="s">
        <v>566</v>
      </c>
      <c r="J92" s="43" t="s">
        <v>567</v>
      </c>
      <c r="K92" s="6" t="s">
        <v>14</v>
      </c>
      <c r="L92" s="6" t="s">
        <v>598</v>
      </c>
    </row>
    <row r="93" spans="1:12" ht="22.5" hidden="1" customHeight="1" x14ac:dyDescent="0.15">
      <c r="A93" s="42">
        <v>46132</v>
      </c>
      <c r="B93" s="4" t="s">
        <v>53</v>
      </c>
      <c r="C93" s="6" t="s">
        <v>12</v>
      </c>
      <c r="D93" s="48" t="s">
        <v>574</v>
      </c>
      <c r="E93" s="43" t="s">
        <v>565</v>
      </c>
      <c r="F93" s="47"/>
      <c r="G93" s="44">
        <v>22200000</v>
      </c>
      <c r="H93" s="44">
        <v>75000</v>
      </c>
      <c r="I93" s="43" t="s">
        <v>566</v>
      </c>
      <c r="J93" s="43" t="s">
        <v>567</v>
      </c>
      <c r="K93" s="6" t="s">
        <v>14</v>
      </c>
      <c r="L93" s="6" t="s">
        <v>599</v>
      </c>
    </row>
    <row r="94" spans="1:12" ht="22.5" hidden="1" customHeight="1" x14ac:dyDescent="0.15">
      <c r="A94" s="42">
        <v>46132</v>
      </c>
      <c r="B94" s="4" t="s">
        <v>56</v>
      </c>
      <c r="C94" s="6" t="s">
        <v>12</v>
      </c>
      <c r="D94" s="48" t="s">
        <v>568</v>
      </c>
      <c r="E94" s="43" t="s">
        <v>570</v>
      </c>
      <c r="F94" s="47"/>
      <c r="G94" s="44">
        <v>1200000</v>
      </c>
      <c r="H94" s="44">
        <v>9000</v>
      </c>
      <c r="I94" s="43" t="s">
        <v>566</v>
      </c>
      <c r="J94" s="43" t="s">
        <v>567</v>
      </c>
      <c r="K94" s="6" t="s">
        <v>14</v>
      </c>
      <c r="L94" s="6"/>
    </row>
    <row r="95" spans="1:12" ht="22.5" hidden="1" customHeight="1" x14ac:dyDescent="0.15">
      <c r="A95" s="42">
        <v>46132</v>
      </c>
      <c r="B95" s="4" t="s">
        <v>56</v>
      </c>
      <c r="C95" s="6" t="s">
        <v>12</v>
      </c>
      <c r="D95" s="48" t="s">
        <v>571</v>
      </c>
      <c r="E95" s="43" t="s">
        <v>569</v>
      </c>
      <c r="F95" s="47"/>
      <c r="G95" s="44">
        <v>1200000</v>
      </c>
      <c r="H95" s="44">
        <v>9000</v>
      </c>
      <c r="I95" s="43" t="s">
        <v>566</v>
      </c>
      <c r="J95" s="43" t="s">
        <v>567</v>
      </c>
      <c r="K95" s="6" t="s">
        <v>14</v>
      </c>
      <c r="L95" s="6"/>
    </row>
    <row r="96" spans="1:12" ht="22.5" hidden="1" customHeight="1" x14ac:dyDescent="0.15">
      <c r="A96" s="42">
        <v>46132</v>
      </c>
      <c r="B96" s="4" t="s">
        <v>56</v>
      </c>
      <c r="C96" s="6" t="s">
        <v>12</v>
      </c>
      <c r="D96" s="48" t="s">
        <v>576</v>
      </c>
      <c r="E96" s="43" t="s">
        <v>565</v>
      </c>
      <c r="F96" s="47"/>
      <c r="G96" s="44">
        <v>1200000</v>
      </c>
      <c r="H96" s="44">
        <v>9000</v>
      </c>
      <c r="I96" s="43" t="s">
        <v>566</v>
      </c>
      <c r="J96" s="43" t="s">
        <v>567</v>
      </c>
      <c r="K96" s="6" t="s">
        <v>14</v>
      </c>
      <c r="L96" s="6"/>
    </row>
    <row r="97" spans="1:12" ht="22.5" customHeight="1" x14ac:dyDescent="0.15">
      <c r="A97" s="42">
        <v>46132</v>
      </c>
      <c r="B97" s="4" t="s">
        <v>56</v>
      </c>
      <c r="C97" s="6" t="s">
        <v>12</v>
      </c>
      <c r="D97" s="48" t="s">
        <v>572</v>
      </c>
      <c r="E97" s="43" t="s">
        <v>569</v>
      </c>
      <c r="F97" s="47"/>
      <c r="G97" s="44">
        <v>1200000</v>
      </c>
      <c r="H97" s="44">
        <v>9000</v>
      </c>
      <c r="I97" s="43" t="s">
        <v>566</v>
      </c>
      <c r="J97" s="43" t="s">
        <v>567</v>
      </c>
      <c r="K97" s="6" t="s">
        <v>14</v>
      </c>
      <c r="L97" s="6"/>
    </row>
    <row r="98" spans="1:12" ht="22.5" hidden="1" customHeight="1" x14ac:dyDescent="0.15">
      <c r="A98" s="42">
        <v>46132</v>
      </c>
      <c r="B98" s="4" t="s">
        <v>56</v>
      </c>
      <c r="C98" s="6" t="s">
        <v>12</v>
      </c>
      <c r="D98" s="48" t="s">
        <v>574</v>
      </c>
      <c r="E98" s="43" t="s">
        <v>565</v>
      </c>
      <c r="G98" s="44">
        <v>1200000</v>
      </c>
      <c r="H98" s="44">
        <v>9000</v>
      </c>
      <c r="I98" s="43" t="s">
        <v>566</v>
      </c>
      <c r="J98" s="43" t="s">
        <v>567</v>
      </c>
      <c r="K98" s="6" t="s">
        <v>14</v>
      </c>
      <c r="L98" s="47" t="s">
        <v>600</v>
      </c>
    </row>
  </sheetData>
  <dataValidations count="3">
    <dataValidation type="custom" allowBlank="1" showDropDown="1" sqref="A2:A98" xr:uid="{00000000-0002-0000-0300-000000000000}">
      <formula1>OR(NOT(ISERROR(DATEVALUE(A2))), AND(ISNUMBER(A2), LEFT(CELL("format", A2))="D"))</formula1>
    </dataValidation>
    <dataValidation type="custom" allowBlank="1" showDropDown="1" sqref="G2:H98" xr:uid="{00000000-0002-0000-0300-000001000000}">
      <formula1>AND(ISNUMBER(G2),(NOT(OR(NOT(ISERROR(DATEVALUE(G2))), AND(ISNUMBER(G2), LEFT(CELL("format", G2))="D")))))</formula1>
    </dataValidation>
    <dataValidation allowBlank="1" showDropDown="1" sqref="J2:J98" xr:uid="{00000000-0002-0000-0300-000002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15" customWidth="1"/>
    <col min="2" max="2" width="15.6640625" customWidth="1"/>
    <col min="5" max="5" width="15.6640625" customWidth="1"/>
  </cols>
  <sheetData>
    <row r="1" spans="1:23" ht="15.75" customHeight="1" x14ac:dyDescent="0.15">
      <c r="A1" s="49" t="s">
        <v>60</v>
      </c>
      <c r="B1" s="50" t="s">
        <v>61</v>
      </c>
      <c r="C1" s="50" t="s">
        <v>601</v>
      </c>
      <c r="D1" s="50" t="s">
        <v>64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ht="15.75" customHeight="1" x14ac:dyDescent="0.15">
      <c r="A2" s="52">
        <v>2</v>
      </c>
      <c r="B2" s="53">
        <v>8</v>
      </c>
      <c r="C2" s="53">
        <v>13</v>
      </c>
      <c r="D2" s="53">
        <v>12</v>
      </c>
      <c r="E2" s="53">
        <v>8</v>
      </c>
      <c r="F2" s="53">
        <v>9</v>
      </c>
      <c r="G2" s="53">
        <v>5</v>
      </c>
      <c r="H2" s="53">
        <v>12</v>
      </c>
      <c r="I2" s="53">
        <v>8</v>
      </c>
      <c r="J2" s="53">
        <v>13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3" ht="15.75" customHeight="1" x14ac:dyDescent="0.15">
      <c r="A3" t="s">
        <v>602</v>
      </c>
      <c r="B3" t="s">
        <v>602</v>
      </c>
      <c r="C3" t="s">
        <v>602</v>
      </c>
      <c r="D3" t="s">
        <v>602</v>
      </c>
      <c r="E3" t="s">
        <v>603</v>
      </c>
      <c r="F3" t="s">
        <v>603</v>
      </c>
      <c r="G3" t="s">
        <v>604</v>
      </c>
      <c r="H3" t="s">
        <v>602</v>
      </c>
      <c r="I3" t="s">
        <v>602</v>
      </c>
      <c r="J3" t="s">
        <v>602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3" ht="15.75" customHeight="1" x14ac:dyDescent="0.15">
      <c r="A4" t="s">
        <v>605</v>
      </c>
      <c r="B4" s="51" t="s">
        <v>606</v>
      </c>
      <c r="C4" t="s">
        <v>603</v>
      </c>
      <c r="D4" t="s">
        <v>607</v>
      </c>
      <c r="E4" s="51" t="s">
        <v>606</v>
      </c>
      <c r="F4" t="s">
        <v>608</v>
      </c>
      <c r="G4" t="s">
        <v>609</v>
      </c>
      <c r="H4" t="s">
        <v>603</v>
      </c>
      <c r="I4" t="s">
        <v>603</v>
      </c>
      <c r="J4" t="s">
        <v>603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3" ht="15.75" customHeight="1" x14ac:dyDescent="0.15">
      <c r="B5" t="s">
        <v>608</v>
      </c>
      <c r="C5" t="s">
        <v>607</v>
      </c>
      <c r="D5" t="s">
        <v>604</v>
      </c>
      <c r="E5" t="s">
        <v>609</v>
      </c>
      <c r="F5" t="s">
        <v>610</v>
      </c>
      <c r="G5" t="s">
        <v>605</v>
      </c>
      <c r="H5" s="51" t="s">
        <v>606</v>
      </c>
      <c r="I5" s="51" t="s">
        <v>606</v>
      </c>
      <c r="J5" s="51" t="s">
        <v>606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3" ht="15.75" customHeight="1" x14ac:dyDescent="0.15">
      <c r="B6" t="s">
        <v>609</v>
      </c>
      <c r="C6" t="s">
        <v>608</v>
      </c>
      <c r="D6" t="s">
        <v>610</v>
      </c>
      <c r="E6" t="s">
        <v>605</v>
      </c>
      <c r="F6" t="s">
        <v>605</v>
      </c>
      <c r="G6" s="51" t="s">
        <v>611</v>
      </c>
      <c r="H6" t="s">
        <v>608</v>
      </c>
      <c r="I6" t="s">
        <v>608</v>
      </c>
      <c r="J6" t="s">
        <v>607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3" ht="15.75" customHeight="1" x14ac:dyDescent="0.15">
      <c r="B7" s="16" t="s">
        <v>612</v>
      </c>
      <c r="C7" t="s">
        <v>610</v>
      </c>
      <c r="D7" t="s">
        <v>609</v>
      </c>
      <c r="E7" t="s">
        <v>613</v>
      </c>
      <c r="F7" t="s">
        <v>613</v>
      </c>
      <c r="G7" s="51" t="s">
        <v>614</v>
      </c>
      <c r="H7" t="s">
        <v>604</v>
      </c>
      <c r="I7" t="s">
        <v>604</v>
      </c>
      <c r="J7" t="s">
        <v>608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3" ht="15.75" customHeight="1" x14ac:dyDescent="0.15">
      <c r="B8" t="s">
        <v>613</v>
      </c>
      <c r="C8" t="s">
        <v>605</v>
      </c>
      <c r="D8" t="s">
        <v>605</v>
      </c>
      <c r="E8" s="51" t="s">
        <v>611</v>
      </c>
      <c r="F8" s="51" t="s">
        <v>611</v>
      </c>
      <c r="G8" s="51"/>
      <c r="H8" t="s">
        <v>609</v>
      </c>
      <c r="I8" s="16" t="s">
        <v>615</v>
      </c>
      <c r="J8" t="s">
        <v>610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</row>
    <row r="9" spans="1:23" ht="15.75" customHeight="1" x14ac:dyDescent="0.15">
      <c r="A9" s="51"/>
      <c r="B9" s="51" t="s">
        <v>614</v>
      </c>
      <c r="C9" s="16" t="s">
        <v>615</v>
      </c>
      <c r="D9" s="16" t="s">
        <v>615</v>
      </c>
      <c r="E9" s="51" t="s">
        <v>616</v>
      </c>
      <c r="F9" s="51" t="s">
        <v>616</v>
      </c>
      <c r="G9" s="51"/>
      <c r="H9" s="16" t="s">
        <v>615</v>
      </c>
      <c r="I9" s="51" t="s">
        <v>616</v>
      </c>
      <c r="J9" t="s">
        <v>605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</row>
    <row r="10" spans="1:23" ht="15.75" customHeight="1" x14ac:dyDescent="0.15">
      <c r="A10" s="51"/>
      <c r="B10" s="51" t="s">
        <v>617</v>
      </c>
      <c r="C10" s="16" t="s">
        <v>612</v>
      </c>
      <c r="D10" s="16" t="s">
        <v>612</v>
      </c>
      <c r="E10" s="51" t="s">
        <v>617</v>
      </c>
      <c r="F10" s="51" t="s">
        <v>617</v>
      </c>
      <c r="G10" s="51"/>
      <c r="H10" t="s">
        <v>613</v>
      </c>
      <c r="I10" s="51" t="s">
        <v>617</v>
      </c>
      <c r="J10" s="16" t="s">
        <v>615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</row>
    <row r="11" spans="1:23" ht="15.75" customHeight="1" x14ac:dyDescent="0.15">
      <c r="A11" s="51"/>
      <c r="B11" s="51"/>
      <c r="C11" t="s">
        <v>613</v>
      </c>
      <c r="D11" s="51" t="s">
        <v>611</v>
      </c>
      <c r="E11" s="51"/>
      <c r="F11" s="51" t="s">
        <v>618</v>
      </c>
      <c r="G11" s="51"/>
      <c r="H11" s="51" t="s">
        <v>614</v>
      </c>
      <c r="I11" s="51"/>
      <c r="J11" s="16" t="s">
        <v>612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</row>
    <row r="12" spans="1:23" ht="15.75" customHeight="1" x14ac:dyDescent="0.15">
      <c r="A12" s="51"/>
      <c r="C12" s="51" t="s">
        <v>614</v>
      </c>
      <c r="D12" s="51" t="s">
        <v>614</v>
      </c>
      <c r="E12" s="51"/>
      <c r="F12" s="51"/>
      <c r="G12" s="51"/>
      <c r="H12" s="51" t="s">
        <v>616</v>
      </c>
      <c r="I12" s="51"/>
      <c r="J12" t="s">
        <v>613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</row>
    <row r="13" spans="1:23" ht="15.75" customHeight="1" x14ac:dyDescent="0.15">
      <c r="A13" s="51"/>
      <c r="B13" s="51"/>
      <c r="C13" s="51" t="s">
        <v>616</v>
      </c>
      <c r="D13" s="51" t="s">
        <v>616</v>
      </c>
      <c r="E13" s="51"/>
      <c r="F13" s="51"/>
      <c r="G13" s="51"/>
      <c r="H13" s="51" t="s">
        <v>617</v>
      </c>
      <c r="I13" s="51"/>
      <c r="J13" s="51" t="s">
        <v>616</v>
      </c>
      <c r="K13" s="51"/>
      <c r="L13" s="51"/>
      <c r="M13" s="51"/>
      <c r="N13" s="51"/>
      <c r="O13" s="51"/>
      <c r="P13" s="55"/>
      <c r="Q13" s="51"/>
      <c r="R13" s="55"/>
      <c r="S13" s="51"/>
      <c r="T13" s="51"/>
      <c r="U13" s="51"/>
      <c r="V13" s="51"/>
      <c r="W13" s="51"/>
    </row>
    <row r="14" spans="1:23" ht="15.75" customHeight="1" x14ac:dyDescent="0.15">
      <c r="B14" s="51"/>
      <c r="C14" s="51" t="s">
        <v>617</v>
      </c>
      <c r="D14" s="51" t="s">
        <v>618</v>
      </c>
      <c r="E14" s="51"/>
      <c r="F14" s="51"/>
      <c r="G14" s="51"/>
      <c r="H14" s="51" t="s">
        <v>618</v>
      </c>
      <c r="I14" s="51"/>
      <c r="J14" s="51" t="s">
        <v>617</v>
      </c>
      <c r="K14" s="51"/>
      <c r="L14" s="51"/>
      <c r="M14" s="51"/>
      <c r="N14" s="51"/>
      <c r="O14" s="51"/>
      <c r="P14" s="55"/>
      <c r="Q14" s="51"/>
      <c r="R14" s="51"/>
      <c r="S14" s="51"/>
      <c r="T14" s="51"/>
      <c r="U14" s="51"/>
      <c r="V14" s="51"/>
      <c r="W14" s="51"/>
    </row>
    <row r="15" spans="1:23" ht="15.75" customHeight="1" x14ac:dyDescent="0.15">
      <c r="B15" s="51"/>
      <c r="C15" s="51" t="s">
        <v>618</v>
      </c>
      <c r="D15" s="51"/>
      <c r="E15" s="51"/>
      <c r="G15" s="51"/>
      <c r="H15" s="51"/>
      <c r="I15" s="51"/>
      <c r="J15" s="51" t="s">
        <v>618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</row>
    <row r="16" spans="1:23" ht="15.75" customHeight="1" x14ac:dyDescent="0.15"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</row>
    <row r="17" spans="1:23" ht="15.75" customHeight="1" x14ac:dyDescent="0.15">
      <c r="C17" s="51"/>
      <c r="D17" s="51"/>
      <c r="E17" s="51"/>
      <c r="F17" s="51"/>
      <c r="G17" s="51"/>
      <c r="H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</row>
    <row r="18" spans="1:23" ht="15.75" customHeight="1" x14ac:dyDescent="0.15"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</row>
    <row r="19" spans="1:23" ht="15.75" customHeight="1" x14ac:dyDescent="0.15">
      <c r="A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</row>
    <row r="20" spans="1:23" ht="15.75" customHeight="1" x14ac:dyDescent="0.15">
      <c r="A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</row>
    <row r="21" spans="1:23" ht="15.75" customHeight="1" x14ac:dyDescent="0.15">
      <c r="A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</row>
    <row r="22" spans="1:23" ht="15.75" customHeight="1" x14ac:dyDescent="0.15">
      <c r="A22" s="51"/>
      <c r="C22" s="51"/>
      <c r="E22" s="51"/>
      <c r="F22" s="51"/>
      <c r="G22" s="51"/>
      <c r="H22" s="51"/>
      <c r="I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</row>
    <row r="23" spans="1:23" ht="15.75" customHeight="1" x14ac:dyDescent="0.15">
      <c r="A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</row>
    <row r="24" spans="1:23" ht="15.75" customHeight="1" x14ac:dyDescent="0.15">
      <c r="A24" s="51"/>
      <c r="C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</row>
    <row r="25" spans="1:23" ht="15.75" customHeight="1" x14ac:dyDescent="0.15">
      <c r="A25" s="51"/>
      <c r="B25" s="51"/>
      <c r="C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</row>
    <row r="26" spans="1:23" ht="15.75" customHeight="1" x14ac:dyDescent="0.15">
      <c r="A26" s="51"/>
      <c r="B26" s="51"/>
      <c r="C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</row>
    <row r="27" spans="1:23" ht="15.75" customHeight="1" x14ac:dyDescent="0.15">
      <c r="A27" s="51"/>
      <c r="B27" s="51"/>
      <c r="C27" s="51"/>
      <c r="E27" s="51"/>
      <c r="F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</row>
    <row r="28" spans="1:23" ht="15.75" customHeight="1" x14ac:dyDescent="0.15">
      <c r="A28" s="51"/>
      <c r="C28" s="51"/>
      <c r="E28" s="51"/>
      <c r="F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</row>
    <row r="29" spans="1:23" ht="15.75" customHeight="1" x14ac:dyDescent="0.15">
      <c r="A29" s="51"/>
      <c r="C29" s="51"/>
      <c r="E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</row>
    <row r="30" spans="1:23" ht="15.75" customHeight="1" x14ac:dyDescent="0.15">
      <c r="A30" s="51"/>
      <c r="C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</row>
    <row r="31" spans="1:23" ht="15.75" customHeight="1" x14ac:dyDescent="0.15">
      <c r="A31" s="51"/>
      <c r="C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</row>
    <row r="32" spans="1:23" ht="15.75" customHeight="1" x14ac:dyDescent="0.15">
      <c r="A32" s="51"/>
      <c r="C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</row>
    <row r="33" spans="1:23" ht="15.75" customHeight="1" x14ac:dyDescent="0.15">
      <c r="A33" s="51"/>
      <c r="C33" s="51"/>
      <c r="H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</row>
    <row r="34" spans="1:23" ht="15.75" customHeight="1" x14ac:dyDescent="0.15">
      <c r="A34" s="51"/>
      <c r="C34" s="51"/>
      <c r="D34" s="51"/>
      <c r="G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</row>
    <row r="35" spans="1:23" ht="15.75" customHeight="1" x14ac:dyDescent="0.15">
      <c r="A35" s="51"/>
      <c r="C35" s="51"/>
      <c r="D35" s="51"/>
      <c r="G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</row>
    <row r="36" spans="1:23" ht="15.75" customHeight="1" x14ac:dyDescent="0.15">
      <c r="A36" s="51"/>
      <c r="C36" s="51"/>
      <c r="D36" s="51"/>
      <c r="G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</row>
    <row r="37" spans="1:23" ht="15.75" customHeight="1" x14ac:dyDescent="0.15">
      <c r="A37" s="51"/>
      <c r="B37" s="51"/>
      <c r="C37" s="51"/>
      <c r="D37" s="51"/>
      <c r="G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</row>
    <row r="38" spans="1:23" ht="15.75" customHeight="1" x14ac:dyDescent="0.15">
      <c r="A38" s="51"/>
      <c r="B38" s="51"/>
      <c r="D38" s="51"/>
      <c r="G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</row>
    <row r="39" spans="1:23" ht="15.75" customHeight="1" x14ac:dyDescent="0.15">
      <c r="A39" s="51"/>
      <c r="B39" s="51"/>
      <c r="D39" s="51"/>
      <c r="F39" s="51"/>
      <c r="G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</row>
    <row r="40" spans="1:23" ht="15.75" customHeight="1" x14ac:dyDescent="0.15">
      <c r="A40" s="51"/>
      <c r="B40" s="51"/>
      <c r="D40" s="51"/>
      <c r="E40" s="51"/>
      <c r="F40" s="51"/>
      <c r="G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</row>
    <row r="41" spans="1:23" ht="15.75" customHeight="1" x14ac:dyDescent="0.15">
      <c r="A41" s="51"/>
      <c r="B41" s="51"/>
      <c r="D41" s="51"/>
      <c r="E41" s="51"/>
      <c r="F41" s="51"/>
      <c r="G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</row>
    <row r="42" spans="1:23" ht="15.75" customHeight="1" x14ac:dyDescent="0.15">
      <c r="A42" s="51"/>
      <c r="B42" s="51"/>
      <c r="D42" s="51"/>
      <c r="E42" s="51"/>
      <c r="F42" s="51"/>
      <c r="G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</row>
    <row r="43" spans="1:23" ht="15.75" customHeight="1" x14ac:dyDescent="0.15">
      <c r="A43" s="51"/>
      <c r="B43" s="51"/>
      <c r="D43" s="51"/>
      <c r="E43" s="51"/>
      <c r="F43" s="51"/>
      <c r="G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</row>
    <row r="44" spans="1:23" ht="15.75" customHeight="1" x14ac:dyDescent="0.15">
      <c r="A44" s="51"/>
      <c r="B44" s="51"/>
      <c r="D44" s="51"/>
      <c r="E44" s="51"/>
      <c r="F44" s="51"/>
      <c r="G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</row>
    <row r="45" spans="1:23" ht="15.75" customHeight="1" x14ac:dyDescent="0.15">
      <c r="A45" s="51"/>
      <c r="B45" s="51"/>
      <c r="D45" s="51"/>
      <c r="E45" s="51"/>
      <c r="F45" s="51"/>
      <c r="G45" s="51"/>
      <c r="I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</row>
    <row r="46" spans="1:23" ht="15.75" customHeight="1" x14ac:dyDescent="0.15">
      <c r="A46" s="51"/>
      <c r="B46" s="51"/>
      <c r="D46" s="51"/>
      <c r="E46" s="51"/>
      <c r="F46" s="51"/>
      <c r="G46" s="51"/>
      <c r="I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</row>
    <row r="47" spans="1:23" ht="15.75" customHeight="1" x14ac:dyDescent="0.15">
      <c r="A47" s="51"/>
      <c r="B47" s="51"/>
      <c r="D47" s="51"/>
      <c r="E47" s="51"/>
      <c r="F47" s="51"/>
      <c r="G47" s="51"/>
      <c r="H47" s="51"/>
      <c r="I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</row>
    <row r="48" spans="1:23" ht="15.75" customHeight="1" x14ac:dyDescent="0.15">
      <c r="A48" s="51"/>
      <c r="B48" s="51"/>
      <c r="D48" s="51"/>
      <c r="E48" s="51"/>
      <c r="F48" s="51"/>
      <c r="G48" s="51"/>
      <c r="H48" s="51"/>
      <c r="I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 spans="1:23" ht="15.75" customHeight="1" x14ac:dyDescent="0.15">
      <c r="A49" s="51"/>
      <c r="B49" s="51"/>
      <c r="D49" s="51"/>
      <c r="E49" s="51"/>
      <c r="F49" s="51"/>
      <c r="G49" s="51"/>
      <c r="H49" s="51"/>
      <c r="I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 spans="1:23" ht="15.75" customHeight="1" x14ac:dyDescent="0.15">
      <c r="A50" s="51"/>
      <c r="B50" s="51"/>
      <c r="D50" s="51"/>
      <c r="E50" s="51"/>
      <c r="F50" s="51"/>
      <c r="G50" s="51"/>
      <c r="H50" s="51"/>
      <c r="I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 spans="1:23" ht="15.75" customHeight="1" x14ac:dyDescent="0.15">
      <c r="A51" s="51"/>
      <c r="B51" s="51"/>
      <c r="D51" s="51"/>
      <c r="E51" s="51"/>
      <c r="F51" s="51"/>
      <c r="G51" s="51"/>
      <c r="H51" s="51"/>
      <c r="I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</row>
    <row r="52" spans="1:23" ht="15.75" customHeight="1" x14ac:dyDescent="0.15">
      <c r="A52" s="51"/>
      <c r="B52" s="51"/>
      <c r="D52" s="51"/>
      <c r="E52" s="51"/>
      <c r="F52" s="51"/>
      <c r="G52" s="51"/>
      <c r="H52" s="51"/>
      <c r="I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spans="1:23" ht="15.75" customHeight="1" x14ac:dyDescent="0.15">
      <c r="A53" s="51"/>
      <c r="B53" s="51"/>
      <c r="D53" s="51"/>
      <c r="E53" s="51"/>
      <c r="F53" s="51"/>
      <c r="G53" s="51"/>
      <c r="H53" s="51"/>
      <c r="I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 spans="1:23" ht="15.75" customHeight="1" x14ac:dyDescent="0.15">
      <c r="A54" s="51"/>
      <c r="B54" s="51"/>
      <c r="C54" s="51"/>
      <c r="D54" s="51"/>
      <c r="E54" s="51"/>
      <c r="F54" s="51"/>
      <c r="G54" s="51"/>
      <c r="H54" s="51"/>
      <c r="I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</row>
    <row r="55" spans="1:23" ht="13" x14ac:dyDescent="0.15">
      <c r="A55" s="51"/>
      <c r="B55" s="51"/>
      <c r="C55" s="51"/>
      <c r="D55" s="51"/>
      <c r="E55" s="51"/>
      <c r="F55" s="51"/>
      <c r="G55" s="51"/>
      <c r="H55" s="51"/>
      <c r="I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</row>
    <row r="56" spans="1:23" ht="13" x14ac:dyDescent="0.15">
      <c r="A56" s="51"/>
      <c r="B56" s="51"/>
      <c r="C56" s="51"/>
      <c r="D56" s="51"/>
      <c r="E56" s="51"/>
      <c r="F56" s="51"/>
      <c r="G56" s="51"/>
      <c r="H56" s="51"/>
      <c r="I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</row>
    <row r="57" spans="1:23" ht="13" x14ac:dyDescent="0.15">
      <c r="A57" s="51"/>
      <c r="B57" s="51"/>
      <c r="C57" s="51"/>
      <c r="D57" s="51"/>
      <c r="E57" s="51"/>
      <c r="F57" s="51"/>
      <c r="G57" s="51"/>
      <c r="H57" s="51"/>
      <c r="I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</row>
    <row r="58" spans="1:23" ht="13" x14ac:dyDescent="0.15">
      <c r="A58" s="51"/>
      <c r="B58" s="51"/>
      <c r="C58" s="51"/>
      <c r="D58" s="51"/>
      <c r="E58" s="51"/>
      <c r="F58" s="51"/>
      <c r="G58" s="51"/>
      <c r="H58" s="51"/>
      <c r="I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</row>
    <row r="59" spans="1:23" ht="13" x14ac:dyDescent="0.15">
      <c r="A59" s="51"/>
      <c r="B59" s="51"/>
      <c r="C59" s="51"/>
      <c r="D59" s="51"/>
      <c r="E59" s="51"/>
      <c r="F59" s="51"/>
      <c r="G59" s="51"/>
      <c r="H59" s="51"/>
      <c r="I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</row>
    <row r="60" spans="1:23" ht="13" x14ac:dyDescent="0.15">
      <c r="A60" s="51"/>
      <c r="B60" s="51"/>
      <c r="C60" s="51"/>
      <c r="D60" s="51"/>
      <c r="E60" s="51"/>
      <c r="F60" s="51"/>
      <c r="G60" s="51"/>
      <c r="H60" s="51"/>
      <c r="I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</row>
    <row r="61" spans="1:23" ht="13" x14ac:dyDescent="0.1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</row>
    <row r="62" spans="1:23" ht="13" x14ac:dyDescent="0.1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</row>
    <row r="63" spans="1:23" ht="13" x14ac:dyDescent="0.1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</row>
    <row r="64" spans="1:23" ht="13" x14ac:dyDescent="0.1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</row>
    <row r="65" spans="1:23" ht="13" x14ac:dyDescent="0.1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</row>
    <row r="66" spans="1:23" ht="13" x14ac:dyDescent="0.1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</row>
    <row r="67" spans="1:23" ht="13" x14ac:dyDescent="0.1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</row>
    <row r="68" spans="1:23" ht="13" x14ac:dyDescent="0.1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</row>
    <row r="69" spans="1:23" ht="13" x14ac:dyDescent="0.1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</row>
    <row r="70" spans="1:23" ht="13" x14ac:dyDescent="0.1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</row>
    <row r="71" spans="1:23" ht="13" x14ac:dyDescent="0.1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</row>
    <row r="72" spans="1:23" ht="13" x14ac:dyDescent="0.1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</row>
    <row r="73" spans="1:23" ht="13" x14ac:dyDescent="0.1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</row>
    <row r="74" spans="1:23" ht="13" x14ac:dyDescent="0.1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</row>
    <row r="75" spans="1:23" ht="13" x14ac:dyDescent="0.1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</row>
    <row r="76" spans="1:23" ht="13" x14ac:dyDescent="0.1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</row>
    <row r="77" spans="1:23" ht="13" x14ac:dyDescent="0.1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</row>
    <row r="78" spans="1:23" ht="13" x14ac:dyDescent="0.1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</row>
    <row r="79" spans="1:23" ht="13" x14ac:dyDescent="0.1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</row>
    <row r="80" spans="1:23" ht="13" x14ac:dyDescent="0.1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</row>
    <row r="81" spans="1:23" ht="13" x14ac:dyDescent="0.1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</row>
    <row r="82" spans="1:23" ht="13" x14ac:dyDescent="0.1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</row>
    <row r="83" spans="1:23" ht="13" x14ac:dyDescent="0.1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</row>
    <row r="84" spans="1:23" ht="13" x14ac:dyDescent="0.1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</row>
    <row r="85" spans="1:23" ht="13" x14ac:dyDescent="0.1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</row>
    <row r="86" spans="1:23" ht="13" x14ac:dyDescent="0.1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</row>
    <row r="87" spans="1:23" ht="13" x14ac:dyDescent="0.1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</row>
    <row r="88" spans="1:23" ht="13" x14ac:dyDescent="0.1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</row>
    <row r="89" spans="1:23" ht="13" x14ac:dyDescent="0.1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</row>
    <row r="90" spans="1:23" ht="13" x14ac:dyDescent="0.1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</row>
    <row r="91" spans="1:23" ht="13" x14ac:dyDescent="0.1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</row>
    <row r="92" spans="1:23" ht="13" x14ac:dyDescent="0.1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</row>
    <row r="93" spans="1:23" ht="13" x14ac:dyDescent="0.1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</row>
    <row r="94" spans="1:23" ht="13" x14ac:dyDescent="0.1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</row>
    <row r="95" spans="1:23" ht="13" x14ac:dyDescent="0.1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</row>
    <row r="96" spans="1:23" ht="13" x14ac:dyDescent="0.1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</row>
    <row r="97" spans="1:23" ht="13" x14ac:dyDescent="0.1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</row>
    <row r="98" spans="1:23" ht="13" x14ac:dyDescent="0.1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</row>
    <row r="99" spans="1:23" ht="13" x14ac:dyDescent="0.1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</row>
    <row r="100" spans="1:23" ht="13" x14ac:dyDescent="0.1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</row>
    <row r="101" spans="1:23" ht="13" x14ac:dyDescent="0.1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</row>
    <row r="102" spans="1:23" ht="13" x14ac:dyDescent="0.1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</row>
    <row r="103" spans="1:23" ht="13" x14ac:dyDescent="0.1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</row>
    <row r="104" spans="1:23" ht="13" x14ac:dyDescent="0.1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</row>
    <row r="105" spans="1:23" ht="13" x14ac:dyDescent="0.1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</row>
    <row r="106" spans="1:23" ht="13" x14ac:dyDescent="0.1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</row>
    <row r="107" spans="1:23" ht="13" x14ac:dyDescent="0.1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</row>
    <row r="108" spans="1:23" ht="13" x14ac:dyDescent="0.1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</row>
    <row r="109" spans="1:23" ht="13" x14ac:dyDescent="0.1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</row>
    <row r="110" spans="1:23" ht="13" x14ac:dyDescent="0.1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</row>
    <row r="111" spans="1:23" ht="13" x14ac:dyDescent="0.1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</row>
    <row r="112" spans="1:23" ht="13" x14ac:dyDescent="0.1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</row>
    <row r="113" spans="1:23" ht="13" x14ac:dyDescent="0.1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</row>
    <row r="114" spans="1:23" ht="13" x14ac:dyDescent="0.1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</row>
    <row r="115" spans="1:23" ht="13" x14ac:dyDescent="0.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</row>
    <row r="116" spans="1:23" ht="13" x14ac:dyDescent="0.1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</row>
    <row r="117" spans="1:23" ht="13" x14ac:dyDescent="0.1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</row>
    <row r="118" spans="1:23" ht="13" x14ac:dyDescent="0.1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</row>
    <row r="119" spans="1:23" ht="13" x14ac:dyDescent="0.1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</row>
    <row r="120" spans="1:23" ht="13" x14ac:dyDescent="0.1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</row>
    <row r="121" spans="1:23" ht="13" x14ac:dyDescent="0.1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</row>
    <row r="122" spans="1:23" ht="13" x14ac:dyDescent="0.1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</row>
    <row r="123" spans="1:23" ht="13" x14ac:dyDescent="0.1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</row>
    <row r="124" spans="1:23" ht="13" x14ac:dyDescent="0.1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</row>
    <row r="125" spans="1:23" ht="13" x14ac:dyDescent="0.1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</row>
    <row r="126" spans="1:23" ht="13" x14ac:dyDescent="0.1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</row>
    <row r="127" spans="1:23" ht="13" x14ac:dyDescent="0.1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</row>
    <row r="128" spans="1:23" ht="13" x14ac:dyDescent="0.1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</row>
    <row r="129" spans="1:23" ht="13" x14ac:dyDescent="0.1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</row>
    <row r="130" spans="1:23" ht="13" x14ac:dyDescent="0.1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</row>
    <row r="131" spans="1:23" ht="13" x14ac:dyDescent="0.1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</row>
    <row r="132" spans="1:23" ht="13" x14ac:dyDescent="0.1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</row>
    <row r="133" spans="1:23" ht="13" x14ac:dyDescent="0.1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</row>
    <row r="134" spans="1:23" ht="13" x14ac:dyDescent="0.1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</row>
    <row r="135" spans="1:23" ht="13" x14ac:dyDescent="0.1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</row>
    <row r="136" spans="1:23" ht="13" x14ac:dyDescent="0.1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</row>
    <row r="137" spans="1:23" ht="13" x14ac:dyDescent="0.1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</row>
    <row r="138" spans="1:23" ht="13" x14ac:dyDescent="0.1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</row>
    <row r="139" spans="1:23" ht="13" x14ac:dyDescent="0.1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</row>
    <row r="140" spans="1:23" ht="13" x14ac:dyDescent="0.1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</row>
    <row r="141" spans="1:23" ht="13" x14ac:dyDescent="0.1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</row>
    <row r="142" spans="1:23" ht="13" x14ac:dyDescent="0.1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</row>
    <row r="143" spans="1:23" ht="13" x14ac:dyDescent="0.1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</row>
    <row r="144" spans="1:23" ht="13" x14ac:dyDescent="0.1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</row>
    <row r="145" spans="1:23" ht="13" x14ac:dyDescent="0.1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</row>
    <row r="146" spans="1:23" ht="13" x14ac:dyDescent="0.1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</row>
    <row r="147" spans="1:23" ht="13" x14ac:dyDescent="0.1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</row>
    <row r="148" spans="1:23" ht="13" x14ac:dyDescent="0.1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</row>
    <row r="149" spans="1:23" ht="13" x14ac:dyDescent="0.1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</row>
    <row r="150" spans="1:23" ht="13" x14ac:dyDescent="0.1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</row>
    <row r="151" spans="1:23" ht="13" x14ac:dyDescent="0.1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</row>
    <row r="152" spans="1:23" ht="13" x14ac:dyDescent="0.1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</row>
    <row r="153" spans="1:23" ht="13" x14ac:dyDescent="0.1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</row>
    <row r="154" spans="1:23" ht="13" x14ac:dyDescent="0.1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</row>
    <row r="155" spans="1:23" ht="13" x14ac:dyDescent="0.1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</row>
    <row r="156" spans="1:23" ht="13" x14ac:dyDescent="0.1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</row>
    <row r="157" spans="1:23" ht="13" x14ac:dyDescent="0.1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</row>
    <row r="158" spans="1:23" ht="13" x14ac:dyDescent="0.1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</row>
    <row r="159" spans="1:23" ht="13" x14ac:dyDescent="0.1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</row>
    <row r="160" spans="1:23" ht="13" x14ac:dyDescent="0.1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</row>
    <row r="161" spans="1:23" ht="13" x14ac:dyDescent="0.1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</row>
    <row r="162" spans="1:23" ht="13" x14ac:dyDescent="0.1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</row>
    <row r="163" spans="1:23" ht="13" x14ac:dyDescent="0.1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</row>
    <row r="164" spans="1:23" ht="13" x14ac:dyDescent="0.1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</row>
    <row r="165" spans="1:23" ht="13" x14ac:dyDescent="0.1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</row>
    <row r="166" spans="1:23" ht="13" x14ac:dyDescent="0.1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</row>
    <row r="167" spans="1:23" ht="13" x14ac:dyDescent="0.1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</row>
    <row r="168" spans="1:23" ht="13" x14ac:dyDescent="0.1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</row>
    <row r="169" spans="1:23" ht="13" x14ac:dyDescent="0.1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</row>
    <row r="170" spans="1:23" ht="13" x14ac:dyDescent="0.1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</row>
    <row r="171" spans="1:23" ht="13" x14ac:dyDescent="0.1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</row>
    <row r="172" spans="1:23" ht="13" x14ac:dyDescent="0.1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</row>
    <row r="173" spans="1:23" ht="13" x14ac:dyDescent="0.1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</row>
    <row r="174" spans="1:23" ht="13" x14ac:dyDescent="0.1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</row>
    <row r="175" spans="1:23" ht="13" x14ac:dyDescent="0.1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</row>
    <row r="176" spans="1:23" ht="13" x14ac:dyDescent="0.1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</row>
    <row r="177" spans="1:23" ht="13" x14ac:dyDescent="0.1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</row>
    <row r="178" spans="1:23" ht="13" x14ac:dyDescent="0.1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</row>
    <row r="179" spans="1:23" ht="13" x14ac:dyDescent="0.1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</row>
    <row r="180" spans="1:23" ht="13" x14ac:dyDescent="0.1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</row>
    <row r="181" spans="1:23" ht="13" x14ac:dyDescent="0.1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</row>
    <row r="182" spans="1:23" ht="13" x14ac:dyDescent="0.1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</row>
    <row r="183" spans="1:23" ht="13" x14ac:dyDescent="0.1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</row>
    <row r="184" spans="1:23" ht="13" x14ac:dyDescent="0.1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</row>
    <row r="185" spans="1:23" ht="13" x14ac:dyDescent="0.1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</row>
    <row r="186" spans="1:23" ht="13" x14ac:dyDescent="0.1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</row>
    <row r="187" spans="1:23" ht="13" x14ac:dyDescent="0.1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</row>
    <row r="188" spans="1:23" ht="13" x14ac:dyDescent="0.1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</row>
    <row r="189" spans="1:23" ht="13" x14ac:dyDescent="0.1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</row>
    <row r="190" spans="1:23" ht="13" x14ac:dyDescent="0.1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</row>
    <row r="191" spans="1:23" ht="13" x14ac:dyDescent="0.1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</row>
    <row r="192" spans="1:23" ht="13" x14ac:dyDescent="0.1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</row>
    <row r="193" spans="1:23" ht="13" x14ac:dyDescent="0.1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</row>
    <row r="194" spans="1:23" ht="13" x14ac:dyDescent="0.1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</row>
    <row r="195" spans="1:23" ht="13" x14ac:dyDescent="0.1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</row>
    <row r="196" spans="1:23" ht="13" x14ac:dyDescent="0.1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</row>
    <row r="197" spans="1:23" ht="13" x14ac:dyDescent="0.1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</row>
    <row r="198" spans="1:23" ht="13" x14ac:dyDescent="0.1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</row>
    <row r="199" spans="1:23" ht="13" x14ac:dyDescent="0.1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</row>
    <row r="200" spans="1:23" ht="13" x14ac:dyDescent="0.1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</row>
    <row r="201" spans="1:23" ht="13" x14ac:dyDescent="0.1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</row>
    <row r="202" spans="1:23" ht="13" x14ac:dyDescent="0.1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</row>
    <row r="203" spans="1:23" ht="13" x14ac:dyDescent="0.1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</row>
    <row r="204" spans="1:23" ht="13" x14ac:dyDescent="0.1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</row>
    <row r="205" spans="1:23" ht="13" x14ac:dyDescent="0.1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</row>
    <row r="206" spans="1:23" ht="13" x14ac:dyDescent="0.1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</row>
    <row r="207" spans="1:23" ht="13" x14ac:dyDescent="0.1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</row>
    <row r="208" spans="1:23" ht="13" x14ac:dyDescent="0.1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</row>
    <row r="209" spans="1:23" ht="13" x14ac:dyDescent="0.1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</row>
    <row r="210" spans="1:23" ht="13" x14ac:dyDescent="0.1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</row>
    <row r="211" spans="1:23" ht="13" x14ac:dyDescent="0.1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</row>
    <row r="212" spans="1:23" ht="13" x14ac:dyDescent="0.1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</row>
    <row r="213" spans="1:23" ht="13" x14ac:dyDescent="0.1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</row>
    <row r="214" spans="1:23" ht="13" x14ac:dyDescent="0.1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</row>
    <row r="215" spans="1:23" ht="13" x14ac:dyDescent="0.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</row>
    <row r="216" spans="1:23" ht="13" x14ac:dyDescent="0.1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</row>
    <row r="217" spans="1:23" ht="13" x14ac:dyDescent="0.1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</row>
    <row r="218" spans="1:23" ht="13" x14ac:dyDescent="0.1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</row>
    <row r="219" spans="1:23" ht="13" x14ac:dyDescent="0.1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</row>
    <row r="220" spans="1:23" ht="13" x14ac:dyDescent="0.1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</row>
    <row r="221" spans="1:23" ht="13" x14ac:dyDescent="0.1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</row>
    <row r="222" spans="1:23" ht="13" x14ac:dyDescent="0.1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</row>
    <row r="223" spans="1:23" ht="13" x14ac:dyDescent="0.1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</row>
    <row r="224" spans="1:23" ht="13" x14ac:dyDescent="0.1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</row>
    <row r="225" spans="1:23" ht="13" x14ac:dyDescent="0.1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</row>
    <row r="226" spans="1:23" ht="13" x14ac:dyDescent="0.1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</row>
    <row r="227" spans="1:23" ht="13" x14ac:dyDescent="0.1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</row>
    <row r="228" spans="1:23" ht="13" x14ac:dyDescent="0.1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</row>
    <row r="229" spans="1:23" ht="13" x14ac:dyDescent="0.1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</row>
    <row r="230" spans="1:23" ht="13" x14ac:dyDescent="0.1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</row>
    <row r="231" spans="1:23" ht="13" x14ac:dyDescent="0.1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</row>
    <row r="232" spans="1:23" ht="13" x14ac:dyDescent="0.1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</row>
    <row r="233" spans="1:23" ht="13" x14ac:dyDescent="0.1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</row>
    <row r="234" spans="1:23" ht="13" x14ac:dyDescent="0.1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</row>
    <row r="235" spans="1:23" ht="13" x14ac:dyDescent="0.1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</row>
    <row r="236" spans="1:23" ht="13" x14ac:dyDescent="0.1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</row>
    <row r="237" spans="1:23" ht="13" x14ac:dyDescent="0.1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</row>
    <row r="238" spans="1:23" ht="13" x14ac:dyDescent="0.1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</row>
    <row r="239" spans="1:23" ht="13" x14ac:dyDescent="0.1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</row>
    <row r="240" spans="1:23" ht="13" x14ac:dyDescent="0.1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</row>
    <row r="241" spans="1:23" ht="13" x14ac:dyDescent="0.1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</row>
    <row r="242" spans="1:23" ht="13" x14ac:dyDescent="0.1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</row>
    <row r="243" spans="1:23" ht="13" x14ac:dyDescent="0.1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</row>
    <row r="244" spans="1:23" ht="13" x14ac:dyDescent="0.1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</row>
    <row r="245" spans="1:23" ht="13" x14ac:dyDescent="0.1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</row>
    <row r="246" spans="1:23" ht="13" x14ac:dyDescent="0.1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</row>
    <row r="247" spans="1:23" ht="13" x14ac:dyDescent="0.1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</row>
    <row r="248" spans="1:23" ht="13" x14ac:dyDescent="0.1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</row>
    <row r="249" spans="1:23" ht="13" x14ac:dyDescent="0.1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</row>
    <row r="250" spans="1:23" ht="13" x14ac:dyDescent="0.1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</row>
    <row r="251" spans="1:23" ht="13" x14ac:dyDescent="0.1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</row>
    <row r="252" spans="1:23" ht="13" x14ac:dyDescent="0.1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</row>
    <row r="253" spans="1:23" ht="13" x14ac:dyDescent="0.1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</row>
    <row r="254" spans="1:23" ht="13" x14ac:dyDescent="0.1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</row>
    <row r="255" spans="1:23" ht="13" x14ac:dyDescent="0.1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</row>
    <row r="256" spans="1:23" ht="13" x14ac:dyDescent="0.1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</row>
    <row r="257" spans="1:23" ht="13" x14ac:dyDescent="0.1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</row>
    <row r="258" spans="1:23" ht="13" x14ac:dyDescent="0.1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</row>
    <row r="259" spans="1:23" ht="13" x14ac:dyDescent="0.1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</row>
    <row r="260" spans="1:23" ht="13" x14ac:dyDescent="0.1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</row>
    <row r="261" spans="1:23" ht="13" x14ac:dyDescent="0.1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</row>
    <row r="262" spans="1:23" ht="13" x14ac:dyDescent="0.1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</row>
    <row r="263" spans="1:23" ht="13" x14ac:dyDescent="0.1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</row>
    <row r="264" spans="1:23" ht="13" x14ac:dyDescent="0.1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</row>
    <row r="265" spans="1:23" ht="13" x14ac:dyDescent="0.1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</row>
    <row r="266" spans="1:23" ht="13" x14ac:dyDescent="0.1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</row>
    <row r="267" spans="1:23" ht="13" x14ac:dyDescent="0.1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</row>
    <row r="268" spans="1:23" ht="13" x14ac:dyDescent="0.1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</row>
    <row r="269" spans="1:23" ht="13" x14ac:dyDescent="0.1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</row>
    <row r="270" spans="1:23" ht="13" x14ac:dyDescent="0.1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</row>
    <row r="271" spans="1:23" ht="13" x14ac:dyDescent="0.1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</row>
    <row r="272" spans="1:23" ht="13" x14ac:dyDescent="0.1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</row>
    <row r="273" spans="1:23" ht="13" x14ac:dyDescent="0.1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</row>
    <row r="274" spans="1:23" ht="13" x14ac:dyDescent="0.1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</row>
    <row r="275" spans="1:23" ht="13" x14ac:dyDescent="0.1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</row>
    <row r="276" spans="1:23" ht="13" x14ac:dyDescent="0.1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</row>
    <row r="277" spans="1:23" ht="13" x14ac:dyDescent="0.1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</row>
    <row r="278" spans="1:23" ht="13" x14ac:dyDescent="0.1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</row>
    <row r="279" spans="1:23" ht="13" x14ac:dyDescent="0.1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</row>
    <row r="280" spans="1:23" ht="13" x14ac:dyDescent="0.1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</row>
    <row r="281" spans="1:23" ht="13" x14ac:dyDescent="0.1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</row>
    <row r="282" spans="1:23" ht="13" x14ac:dyDescent="0.1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</row>
    <row r="283" spans="1:23" ht="13" x14ac:dyDescent="0.1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</row>
    <row r="284" spans="1:23" ht="13" x14ac:dyDescent="0.1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</row>
    <row r="285" spans="1:23" ht="13" x14ac:dyDescent="0.1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</row>
    <row r="286" spans="1:23" ht="13" x14ac:dyDescent="0.1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</row>
    <row r="287" spans="1:23" ht="13" x14ac:dyDescent="0.1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</row>
    <row r="288" spans="1:23" ht="13" x14ac:dyDescent="0.1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</row>
    <row r="289" spans="1:23" ht="13" x14ac:dyDescent="0.1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</row>
    <row r="290" spans="1:23" ht="13" x14ac:dyDescent="0.1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</row>
    <row r="291" spans="1:23" ht="13" x14ac:dyDescent="0.1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</row>
    <row r="292" spans="1:23" ht="13" x14ac:dyDescent="0.1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</row>
    <row r="293" spans="1:23" ht="13" x14ac:dyDescent="0.1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</row>
    <row r="294" spans="1:23" ht="13" x14ac:dyDescent="0.1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</row>
    <row r="295" spans="1:23" ht="13" x14ac:dyDescent="0.1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</row>
    <row r="296" spans="1:23" ht="13" x14ac:dyDescent="0.1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</row>
    <row r="297" spans="1:23" ht="13" x14ac:dyDescent="0.1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</row>
    <row r="298" spans="1:23" ht="13" x14ac:dyDescent="0.1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</row>
    <row r="299" spans="1:23" ht="13" x14ac:dyDescent="0.1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</row>
    <row r="300" spans="1:23" ht="13" x14ac:dyDescent="0.1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</row>
    <row r="301" spans="1:23" ht="13" x14ac:dyDescent="0.1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</row>
    <row r="302" spans="1:23" ht="13" x14ac:dyDescent="0.1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</row>
    <row r="303" spans="1:23" ht="13" x14ac:dyDescent="0.1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</row>
    <row r="304" spans="1:23" ht="13" x14ac:dyDescent="0.1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</row>
    <row r="305" spans="1:23" ht="13" x14ac:dyDescent="0.1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</row>
    <row r="306" spans="1:23" ht="13" x14ac:dyDescent="0.1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</row>
    <row r="307" spans="1:23" ht="13" x14ac:dyDescent="0.1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</row>
    <row r="308" spans="1:23" ht="13" x14ac:dyDescent="0.1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</row>
    <row r="309" spans="1:23" ht="13" x14ac:dyDescent="0.1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</row>
    <row r="310" spans="1:23" ht="13" x14ac:dyDescent="0.1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</row>
    <row r="311" spans="1:23" ht="13" x14ac:dyDescent="0.1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</row>
    <row r="312" spans="1:23" ht="13" x14ac:dyDescent="0.1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</row>
    <row r="313" spans="1:23" ht="13" x14ac:dyDescent="0.1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</row>
    <row r="314" spans="1:23" ht="13" x14ac:dyDescent="0.1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</row>
    <row r="315" spans="1:23" ht="13" x14ac:dyDescent="0.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</row>
    <row r="316" spans="1:23" ht="13" x14ac:dyDescent="0.1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</row>
    <row r="317" spans="1:23" ht="13" x14ac:dyDescent="0.1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</row>
    <row r="318" spans="1:23" ht="13" x14ac:dyDescent="0.1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</row>
    <row r="319" spans="1:23" ht="13" x14ac:dyDescent="0.1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</row>
    <row r="320" spans="1:23" ht="13" x14ac:dyDescent="0.1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</row>
    <row r="321" spans="1:23" ht="13" x14ac:dyDescent="0.1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</row>
    <row r="322" spans="1:23" ht="13" x14ac:dyDescent="0.1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</row>
    <row r="323" spans="1:23" ht="13" x14ac:dyDescent="0.1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</row>
    <row r="324" spans="1:23" ht="13" x14ac:dyDescent="0.1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</row>
    <row r="325" spans="1:23" ht="13" x14ac:dyDescent="0.1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</row>
    <row r="326" spans="1:23" ht="13" x14ac:dyDescent="0.1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</row>
    <row r="327" spans="1:23" ht="13" x14ac:dyDescent="0.1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</row>
    <row r="328" spans="1:23" ht="13" x14ac:dyDescent="0.1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</row>
    <row r="329" spans="1:23" ht="13" x14ac:dyDescent="0.1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</row>
    <row r="330" spans="1:23" ht="13" x14ac:dyDescent="0.1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</row>
    <row r="331" spans="1:23" ht="13" x14ac:dyDescent="0.1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</row>
    <row r="332" spans="1:23" ht="13" x14ac:dyDescent="0.1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</row>
    <row r="333" spans="1:23" ht="13" x14ac:dyDescent="0.1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</row>
    <row r="334" spans="1:23" ht="13" x14ac:dyDescent="0.1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</row>
    <row r="335" spans="1:23" ht="13" x14ac:dyDescent="0.1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</row>
    <row r="336" spans="1:23" ht="13" x14ac:dyDescent="0.1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</row>
    <row r="337" spans="1:23" ht="13" x14ac:dyDescent="0.1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</row>
    <row r="338" spans="1:23" ht="13" x14ac:dyDescent="0.1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</row>
    <row r="339" spans="1:23" ht="13" x14ac:dyDescent="0.1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</row>
    <row r="340" spans="1:23" ht="13" x14ac:dyDescent="0.1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</row>
    <row r="341" spans="1:23" ht="13" x14ac:dyDescent="0.1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</row>
    <row r="342" spans="1:23" ht="13" x14ac:dyDescent="0.1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</row>
    <row r="343" spans="1:23" ht="13" x14ac:dyDescent="0.1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</row>
    <row r="344" spans="1:23" ht="13" x14ac:dyDescent="0.1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</row>
    <row r="345" spans="1:23" ht="13" x14ac:dyDescent="0.1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</row>
    <row r="346" spans="1:23" ht="13" x14ac:dyDescent="0.1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</row>
    <row r="347" spans="1:23" ht="13" x14ac:dyDescent="0.1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</row>
    <row r="348" spans="1:23" ht="13" x14ac:dyDescent="0.1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</row>
    <row r="349" spans="1:23" ht="13" x14ac:dyDescent="0.1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</row>
    <row r="350" spans="1:23" ht="13" x14ac:dyDescent="0.1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</row>
    <row r="351" spans="1:23" ht="13" x14ac:dyDescent="0.1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</row>
    <row r="352" spans="1:23" ht="13" x14ac:dyDescent="0.1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</row>
    <row r="353" spans="1:23" ht="13" x14ac:dyDescent="0.1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</row>
    <row r="354" spans="1:23" ht="13" x14ac:dyDescent="0.1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</row>
    <row r="355" spans="1:23" ht="13" x14ac:dyDescent="0.1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</row>
    <row r="356" spans="1:23" ht="13" x14ac:dyDescent="0.1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</row>
    <row r="357" spans="1:23" ht="13" x14ac:dyDescent="0.1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</row>
    <row r="358" spans="1:23" ht="13" x14ac:dyDescent="0.1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</row>
    <row r="359" spans="1:23" ht="13" x14ac:dyDescent="0.1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</row>
    <row r="360" spans="1:23" ht="13" x14ac:dyDescent="0.1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</row>
    <row r="361" spans="1:23" ht="13" x14ac:dyDescent="0.1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</row>
    <row r="362" spans="1:23" ht="13" x14ac:dyDescent="0.1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</row>
    <row r="363" spans="1:23" ht="13" x14ac:dyDescent="0.1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</row>
    <row r="364" spans="1:23" ht="13" x14ac:dyDescent="0.1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</row>
    <row r="365" spans="1:23" ht="13" x14ac:dyDescent="0.1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</row>
    <row r="366" spans="1:23" ht="13" x14ac:dyDescent="0.1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</row>
    <row r="367" spans="1:23" ht="13" x14ac:dyDescent="0.1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</row>
    <row r="368" spans="1:23" ht="13" x14ac:dyDescent="0.1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</row>
    <row r="369" spans="1:23" ht="13" x14ac:dyDescent="0.1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</row>
    <row r="370" spans="1:23" ht="13" x14ac:dyDescent="0.1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</row>
    <row r="371" spans="1:23" ht="13" x14ac:dyDescent="0.1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</row>
    <row r="372" spans="1:23" ht="13" x14ac:dyDescent="0.1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</row>
    <row r="373" spans="1:23" ht="13" x14ac:dyDescent="0.1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</row>
    <row r="374" spans="1:23" ht="13" x14ac:dyDescent="0.1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</row>
    <row r="375" spans="1:23" ht="13" x14ac:dyDescent="0.1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</row>
    <row r="376" spans="1:23" ht="13" x14ac:dyDescent="0.1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</row>
    <row r="377" spans="1:23" ht="13" x14ac:dyDescent="0.1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</row>
    <row r="378" spans="1:23" ht="13" x14ac:dyDescent="0.1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</row>
    <row r="379" spans="1:23" ht="13" x14ac:dyDescent="0.1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</row>
    <row r="380" spans="1:23" ht="13" x14ac:dyDescent="0.1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</row>
    <row r="381" spans="1:23" ht="13" x14ac:dyDescent="0.1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</row>
    <row r="382" spans="1:23" ht="13" x14ac:dyDescent="0.1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</row>
    <row r="383" spans="1:23" ht="13" x14ac:dyDescent="0.1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</row>
    <row r="384" spans="1:23" ht="13" x14ac:dyDescent="0.1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</row>
    <row r="385" spans="1:23" ht="13" x14ac:dyDescent="0.1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</row>
    <row r="386" spans="1:23" ht="13" x14ac:dyDescent="0.1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</row>
    <row r="387" spans="1:23" ht="13" x14ac:dyDescent="0.1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</row>
    <row r="388" spans="1:23" ht="13" x14ac:dyDescent="0.1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</row>
    <row r="389" spans="1:23" ht="13" x14ac:dyDescent="0.1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</row>
    <row r="390" spans="1:23" ht="13" x14ac:dyDescent="0.1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</row>
    <row r="391" spans="1:23" ht="13" x14ac:dyDescent="0.1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</row>
    <row r="392" spans="1:23" ht="13" x14ac:dyDescent="0.1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</row>
    <row r="393" spans="1:23" ht="13" x14ac:dyDescent="0.1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</row>
    <row r="394" spans="1:23" ht="13" x14ac:dyDescent="0.1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</row>
    <row r="395" spans="1:23" ht="13" x14ac:dyDescent="0.1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</row>
    <row r="396" spans="1:23" ht="13" x14ac:dyDescent="0.1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</row>
    <row r="397" spans="1:23" ht="13" x14ac:dyDescent="0.1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</row>
    <row r="398" spans="1:23" ht="13" x14ac:dyDescent="0.1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</row>
    <row r="399" spans="1:23" ht="13" x14ac:dyDescent="0.1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</row>
    <row r="400" spans="1:23" ht="13" x14ac:dyDescent="0.1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</row>
    <row r="401" spans="1:23" ht="13" x14ac:dyDescent="0.1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</row>
    <row r="402" spans="1:23" ht="13" x14ac:dyDescent="0.1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</row>
    <row r="403" spans="1:23" ht="13" x14ac:dyDescent="0.1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</row>
    <row r="404" spans="1:23" ht="13" x14ac:dyDescent="0.1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</row>
    <row r="405" spans="1:23" ht="13" x14ac:dyDescent="0.1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</row>
    <row r="406" spans="1:23" ht="13" x14ac:dyDescent="0.1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</row>
    <row r="407" spans="1:23" ht="13" x14ac:dyDescent="0.1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</row>
    <row r="408" spans="1:23" ht="13" x14ac:dyDescent="0.1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</row>
    <row r="409" spans="1:23" ht="13" x14ac:dyDescent="0.1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</row>
    <row r="410" spans="1:23" ht="13" x14ac:dyDescent="0.1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</row>
    <row r="411" spans="1:23" ht="13" x14ac:dyDescent="0.1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</row>
    <row r="412" spans="1:23" ht="13" x14ac:dyDescent="0.1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</row>
    <row r="413" spans="1:23" ht="13" x14ac:dyDescent="0.1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</row>
    <row r="414" spans="1:23" ht="13" x14ac:dyDescent="0.1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</row>
    <row r="415" spans="1:23" ht="13" x14ac:dyDescent="0.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</row>
    <row r="416" spans="1:23" ht="13" x14ac:dyDescent="0.1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</row>
    <row r="417" spans="1:23" ht="13" x14ac:dyDescent="0.1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</row>
    <row r="418" spans="1:23" ht="13" x14ac:dyDescent="0.1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</row>
    <row r="419" spans="1:23" ht="13" x14ac:dyDescent="0.1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</row>
    <row r="420" spans="1:23" ht="13" x14ac:dyDescent="0.1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</row>
    <row r="421" spans="1:23" ht="13" x14ac:dyDescent="0.1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</row>
    <row r="422" spans="1:23" ht="13" x14ac:dyDescent="0.1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</row>
    <row r="423" spans="1:23" ht="13" x14ac:dyDescent="0.1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</row>
    <row r="424" spans="1:23" ht="13" x14ac:dyDescent="0.1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</row>
    <row r="425" spans="1:23" ht="13" x14ac:dyDescent="0.1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</row>
    <row r="426" spans="1:23" ht="13" x14ac:dyDescent="0.1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</row>
    <row r="427" spans="1:23" ht="13" x14ac:dyDescent="0.1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</row>
    <row r="428" spans="1:23" ht="13" x14ac:dyDescent="0.1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</row>
    <row r="429" spans="1:23" ht="13" x14ac:dyDescent="0.1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</row>
    <row r="430" spans="1:23" ht="13" x14ac:dyDescent="0.1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</row>
    <row r="431" spans="1:23" ht="13" x14ac:dyDescent="0.1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</row>
    <row r="432" spans="1:23" ht="13" x14ac:dyDescent="0.1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</row>
    <row r="433" spans="1:23" ht="13" x14ac:dyDescent="0.1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</row>
    <row r="434" spans="1:23" ht="13" x14ac:dyDescent="0.1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</row>
    <row r="435" spans="1:23" ht="13" x14ac:dyDescent="0.1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</row>
    <row r="436" spans="1:23" ht="13" x14ac:dyDescent="0.1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</row>
    <row r="437" spans="1:23" ht="13" x14ac:dyDescent="0.1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</row>
    <row r="438" spans="1:23" ht="13" x14ac:dyDescent="0.1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</row>
    <row r="439" spans="1:23" ht="13" x14ac:dyDescent="0.1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</row>
    <row r="440" spans="1:23" ht="13" x14ac:dyDescent="0.1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</row>
    <row r="441" spans="1:23" ht="13" x14ac:dyDescent="0.1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</row>
    <row r="442" spans="1:23" ht="13" x14ac:dyDescent="0.1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</row>
    <row r="443" spans="1:23" ht="13" x14ac:dyDescent="0.1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</row>
    <row r="444" spans="1:23" ht="13" x14ac:dyDescent="0.1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</row>
    <row r="445" spans="1:23" ht="13" x14ac:dyDescent="0.1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</row>
    <row r="446" spans="1:23" ht="13" x14ac:dyDescent="0.1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</row>
    <row r="447" spans="1:23" ht="13" x14ac:dyDescent="0.1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</row>
    <row r="448" spans="1:23" ht="13" x14ac:dyDescent="0.1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</row>
    <row r="449" spans="1:23" ht="13" x14ac:dyDescent="0.1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</row>
    <row r="450" spans="1:23" ht="13" x14ac:dyDescent="0.1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</row>
    <row r="451" spans="1:23" ht="13" x14ac:dyDescent="0.1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</row>
    <row r="452" spans="1:23" ht="13" x14ac:dyDescent="0.1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</row>
    <row r="453" spans="1:23" ht="13" x14ac:dyDescent="0.1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</row>
    <row r="454" spans="1:23" ht="13" x14ac:dyDescent="0.1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</row>
    <row r="455" spans="1:23" ht="13" x14ac:dyDescent="0.1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</row>
    <row r="456" spans="1:23" ht="13" x14ac:dyDescent="0.1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</row>
    <row r="457" spans="1:23" ht="13" x14ac:dyDescent="0.1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</row>
    <row r="458" spans="1:23" ht="13" x14ac:dyDescent="0.1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</row>
    <row r="459" spans="1:23" ht="13" x14ac:dyDescent="0.1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</row>
    <row r="460" spans="1:23" ht="13" x14ac:dyDescent="0.1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</row>
    <row r="461" spans="1:23" ht="13" x14ac:dyDescent="0.1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</row>
    <row r="462" spans="1:23" ht="13" x14ac:dyDescent="0.1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</row>
    <row r="463" spans="1:23" ht="13" x14ac:dyDescent="0.1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</row>
    <row r="464" spans="1:23" ht="13" x14ac:dyDescent="0.1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</row>
    <row r="465" spans="1:23" ht="13" x14ac:dyDescent="0.1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</row>
    <row r="466" spans="1:23" ht="13" x14ac:dyDescent="0.1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</row>
    <row r="467" spans="1:23" ht="13" x14ac:dyDescent="0.1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</row>
    <row r="468" spans="1:23" ht="13" x14ac:dyDescent="0.1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</row>
    <row r="469" spans="1:23" ht="13" x14ac:dyDescent="0.1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</row>
    <row r="470" spans="1:23" ht="13" x14ac:dyDescent="0.1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</row>
    <row r="471" spans="1:23" ht="13" x14ac:dyDescent="0.1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</row>
    <row r="472" spans="1:23" ht="13" x14ac:dyDescent="0.1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</row>
    <row r="473" spans="1:23" ht="13" x14ac:dyDescent="0.1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</row>
    <row r="474" spans="1:23" ht="13" x14ac:dyDescent="0.1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</row>
    <row r="475" spans="1:23" ht="13" x14ac:dyDescent="0.1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</row>
    <row r="476" spans="1:23" ht="13" x14ac:dyDescent="0.1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</row>
    <row r="477" spans="1:23" ht="13" x14ac:dyDescent="0.1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</row>
    <row r="478" spans="1:23" ht="13" x14ac:dyDescent="0.1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</row>
    <row r="479" spans="1:23" ht="13" x14ac:dyDescent="0.1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</row>
    <row r="480" spans="1:23" ht="13" x14ac:dyDescent="0.1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</row>
    <row r="481" spans="1:23" ht="13" x14ac:dyDescent="0.1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</row>
    <row r="482" spans="1:23" ht="13" x14ac:dyDescent="0.1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</row>
    <row r="483" spans="1:23" ht="13" x14ac:dyDescent="0.1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</row>
    <row r="484" spans="1:23" ht="13" x14ac:dyDescent="0.1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</row>
    <row r="485" spans="1:23" ht="13" x14ac:dyDescent="0.1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</row>
    <row r="486" spans="1:23" ht="13" x14ac:dyDescent="0.1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</row>
    <row r="487" spans="1:23" ht="13" x14ac:dyDescent="0.1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</row>
    <row r="488" spans="1:23" ht="13" x14ac:dyDescent="0.1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</row>
    <row r="489" spans="1:23" ht="13" x14ac:dyDescent="0.1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</row>
    <row r="490" spans="1:23" ht="13" x14ac:dyDescent="0.1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</row>
    <row r="491" spans="1:23" ht="13" x14ac:dyDescent="0.1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</row>
    <row r="492" spans="1:23" ht="13" x14ac:dyDescent="0.1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</row>
    <row r="493" spans="1:23" ht="13" x14ac:dyDescent="0.1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</row>
    <row r="494" spans="1:23" ht="13" x14ac:dyDescent="0.1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</row>
    <row r="495" spans="1:23" ht="13" x14ac:dyDescent="0.1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</row>
    <row r="496" spans="1:23" ht="13" x14ac:dyDescent="0.1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</row>
    <row r="497" spans="1:23" ht="13" x14ac:dyDescent="0.1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</row>
    <row r="498" spans="1:23" ht="13" x14ac:dyDescent="0.1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</row>
    <row r="499" spans="1:23" ht="13" x14ac:dyDescent="0.1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</row>
    <row r="500" spans="1:23" ht="13" x14ac:dyDescent="0.1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</row>
    <row r="501" spans="1:23" ht="13" x14ac:dyDescent="0.1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</row>
    <row r="502" spans="1:23" ht="13" x14ac:dyDescent="0.1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</row>
    <row r="503" spans="1:23" ht="13" x14ac:dyDescent="0.1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</row>
    <row r="504" spans="1:23" ht="13" x14ac:dyDescent="0.1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</row>
    <row r="505" spans="1:23" ht="13" x14ac:dyDescent="0.1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</row>
    <row r="506" spans="1:23" ht="13" x14ac:dyDescent="0.1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</row>
    <row r="507" spans="1:23" ht="13" x14ac:dyDescent="0.1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</row>
    <row r="508" spans="1:23" ht="13" x14ac:dyDescent="0.1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</row>
    <row r="509" spans="1:23" ht="13" x14ac:dyDescent="0.1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</row>
    <row r="510" spans="1:23" ht="13" x14ac:dyDescent="0.1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</row>
    <row r="511" spans="1:23" ht="13" x14ac:dyDescent="0.1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</row>
    <row r="512" spans="1:23" ht="13" x14ac:dyDescent="0.1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</row>
    <row r="513" spans="1:23" ht="13" x14ac:dyDescent="0.1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</row>
    <row r="514" spans="1:23" ht="13" x14ac:dyDescent="0.1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</row>
    <row r="515" spans="1:23" ht="13" x14ac:dyDescent="0.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</row>
    <row r="516" spans="1:23" ht="13" x14ac:dyDescent="0.1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</row>
    <row r="517" spans="1:23" ht="13" x14ac:dyDescent="0.1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</row>
    <row r="518" spans="1:23" ht="13" x14ac:dyDescent="0.1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</row>
    <row r="519" spans="1:23" ht="13" x14ac:dyDescent="0.1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</row>
    <row r="520" spans="1:23" ht="13" x14ac:dyDescent="0.1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</row>
    <row r="521" spans="1:23" ht="13" x14ac:dyDescent="0.1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</row>
    <row r="522" spans="1:23" ht="13" x14ac:dyDescent="0.1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</row>
    <row r="523" spans="1:23" ht="13" x14ac:dyDescent="0.1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</row>
    <row r="524" spans="1:23" ht="13" x14ac:dyDescent="0.1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</row>
    <row r="525" spans="1:23" ht="13" x14ac:dyDescent="0.1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</row>
    <row r="526" spans="1:23" ht="13" x14ac:dyDescent="0.1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</row>
    <row r="527" spans="1:23" ht="13" x14ac:dyDescent="0.1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</row>
    <row r="528" spans="1:23" ht="13" x14ac:dyDescent="0.1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</row>
    <row r="529" spans="1:23" ht="13" x14ac:dyDescent="0.1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</row>
    <row r="530" spans="1:23" ht="13" x14ac:dyDescent="0.1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</row>
    <row r="531" spans="1:23" ht="13" x14ac:dyDescent="0.1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</row>
    <row r="532" spans="1:23" ht="13" x14ac:dyDescent="0.1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</row>
    <row r="533" spans="1:23" ht="13" x14ac:dyDescent="0.1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</row>
    <row r="534" spans="1:23" ht="13" x14ac:dyDescent="0.1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</row>
    <row r="535" spans="1:23" ht="13" x14ac:dyDescent="0.1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</row>
    <row r="536" spans="1:23" ht="13" x14ac:dyDescent="0.1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</row>
    <row r="537" spans="1:23" ht="13" x14ac:dyDescent="0.1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</row>
    <row r="538" spans="1:23" ht="13" x14ac:dyDescent="0.1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</row>
    <row r="539" spans="1:23" ht="13" x14ac:dyDescent="0.1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</row>
    <row r="540" spans="1:23" ht="13" x14ac:dyDescent="0.1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</row>
    <row r="541" spans="1:23" ht="13" x14ac:dyDescent="0.1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</row>
    <row r="542" spans="1:23" ht="13" x14ac:dyDescent="0.1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</row>
    <row r="543" spans="1:23" ht="13" x14ac:dyDescent="0.1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</row>
    <row r="544" spans="1:23" ht="13" x14ac:dyDescent="0.1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</row>
    <row r="545" spans="1:23" ht="13" x14ac:dyDescent="0.1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</row>
    <row r="546" spans="1:23" ht="13" x14ac:dyDescent="0.1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</row>
    <row r="547" spans="1:23" ht="13" x14ac:dyDescent="0.1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</row>
    <row r="548" spans="1:23" ht="13" x14ac:dyDescent="0.1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</row>
    <row r="549" spans="1:23" ht="13" x14ac:dyDescent="0.1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</row>
    <row r="550" spans="1:23" ht="13" x14ac:dyDescent="0.1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</row>
    <row r="551" spans="1:23" ht="13" x14ac:dyDescent="0.1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</row>
    <row r="552" spans="1:23" ht="13" x14ac:dyDescent="0.1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</row>
    <row r="553" spans="1:23" ht="13" x14ac:dyDescent="0.1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</row>
    <row r="554" spans="1:23" ht="13" x14ac:dyDescent="0.1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</row>
    <row r="555" spans="1:23" ht="13" x14ac:dyDescent="0.1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</row>
    <row r="556" spans="1:23" ht="13" x14ac:dyDescent="0.1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</row>
    <row r="557" spans="1:23" ht="13" x14ac:dyDescent="0.1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</row>
    <row r="558" spans="1:23" ht="13" x14ac:dyDescent="0.1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</row>
    <row r="559" spans="1:23" ht="13" x14ac:dyDescent="0.1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</row>
    <row r="560" spans="1:23" ht="13" x14ac:dyDescent="0.1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</row>
    <row r="561" spans="1:23" ht="13" x14ac:dyDescent="0.1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</row>
    <row r="562" spans="1:23" ht="13" x14ac:dyDescent="0.1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</row>
    <row r="563" spans="1:23" ht="13" x14ac:dyDescent="0.1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</row>
    <row r="564" spans="1:23" ht="13" x14ac:dyDescent="0.1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</row>
    <row r="565" spans="1:23" ht="13" x14ac:dyDescent="0.1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</row>
    <row r="566" spans="1:23" ht="13" x14ac:dyDescent="0.1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</row>
    <row r="567" spans="1:23" ht="13" x14ac:dyDescent="0.1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</row>
    <row r="568" spans="1:23" ht="13" x14ac:dyDescent="0.1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</row>
    <row r="569" spans="1:23" ht="13" x14ac:dyDescent="0.1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</row>
    <row r="570" spans="1:23" ht="13" x14ac:dyDescent="0.1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</row>
    <row r="571" spans="1:23" ht="13" x14ac:dyDescent="0.1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</row>
    <row r="572" spans="1:23" ht="13" x14ac:dyDescent="0.1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</row>
    <row r="573" spans="1:23" ht="13" x14ac:dyDescent="0.1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</row>
    <row r="574" spans="1:23" ht="13" x14ac:dyDescent="0.1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</row>
    <row r="575" spans="1:23" ht="13" x14ac:dyDescent="0.1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</row>
    <row r="576" spans="1:23" ht="13" x14ac:dyDescent="0.1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</row>
    <row r="577" spans="1:23" ht="13" x14ac:dyDescent="0.1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</row>
    <row r="578" spans="1:23" ht="13" x14ac:dyDescent="0.1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</row>
    <row r="579" spans="1:23" ht="13" x14ac:dyDescent="0.1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</row>
    <row r="580" spans="1:23" ht="13" x14ac:dyDescent="0.1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</row>
    <row r="581" spans="1:23" ht="13" x14ac:dyDescent="0.1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</row>
    <row r="582" spans="1:23" ht="13" x14ac:dyDescent="0.1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</row>
    <row r="583" spans="1:23" ht="13" x14ac:dyDescent="0.1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</row>
    <row r="584" spans="1:23" ht="13" x14ac:dyDescent="0.1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</row>
    <row r="585" spans="1:23" ht="13" x14ac:dyDescent="0.1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</row>
    <row r="586" spans="1:23" ht="13" x14ac:dyDescent="0.1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</row>
    <row r="587" spans="1:23" ht="13" x14ac:dyDescent="0.1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</row>
    <row r="588" spans="1:23" ht="13" x14ac:dyDescent="0.1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</row>
    <row r="589" spans="1:23" ht="13" x14ac:dyDescent="0.1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</row>
    <row r="590" spans="1:23" ht="13" x14ac:dyDescent="0.1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</row>
    <row r="591" spans="1:23" ht="13" x14ac:dyDescent="0.1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</row>
    <row r="592" spans="1:23" ht="13" x14ac:dyDescent="0.1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</row>
    <row r="593" spans="1:23" ht="13" x14ac:dyDescent="0.1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</row>
    <row r="594" spans="1:23" ht="13" x14ac:dyDescent="0.1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</row>
    <row r="595" spans="1:23" ht="13" x14ac:dyDescent="0.1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</row>
    <row r="596" spans="1:23" ht="13" x14ac:dyDescent="0.1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</row>
    <row r="597" spans="1:23" ht="13" x14ac:dyDescent="0.1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</row>
    <row r="598" spans="1:23" ht="13" x14ac:dyDescent="0.1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</row>
    <row r="599" spans="1:23" ht="13" x14ac:dyDescent="0.1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</row>
    <row r="600" spans="1:23" ht="13" x14ac:dyDescent="0.1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</row>
    <row r="601" spans="1:23" ht="13" x14ac:dyDescent="0.1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</row>
    <row r="602" spans="1:23" ht="13" x14ac:dyDescent="0.1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</row>
    <row r="603" spans="1:23" ht="13" x14ac:dyDescent="0.1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</row>
    <row r="604" spans="1:23" ht="13" x14ac:dyDescent="0.1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</row>
    <row r="605" spans="1:23" ht="13" x14ac:dyDescent="0.1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</row>
    <row r="606" spans="1:23" ht="13" x14ac:dyDescent="0.1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</row>
    <row r="607" spans="1:23" ht="13" x14ac:dyDescent="0.1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</row>
    <row r="608" spans="1:23" ht="13" x14ac:dyDescent="0.1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</row>
    <row r="609" spans="1:23" ht="13" x14ac:dyDescent="0.1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</row>
    <row r="610" spans="1:23" ht="13" x14ac:dyDescent="0.1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</row>
    <row r="611" spans="1:23" ht="13" x14ac:dyDescent="0.1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</row>
    <row r="612" spans="1:23" ht="13" x14ac:dyDescent="0.1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</row>
    <row r="613" spans="1:23" ht="13" x14ac:dyDescent="0.1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</row>
    <row r="614" spans="1:23" ht="13" x14ac:dyDescent="0.1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</row>
    <row r="615" spans="1:23" ht="13" x14ac:dyDescent="0.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</row>
    <row r="616" spans="1:23" ht="13" x14ac:dyDescent="0.1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</row>
    <row r="617" spans="1:23" ht="13" x14ac:dyDescent="0.1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</row>
    <row r="618" spans="1:23" ht="13" x14ac:dyDescent="0.1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</row>
    <row r="619" spans="1:23" ht="13" x14ac:dyDescent="0.1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</row>
    <row r="620" spans="1:23" ht="13" x14ac:dyDescent="0.1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</row>
    <row r="621" spans="1:23" ht="13" x14ac:dyDescent="0.1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</row>
    <row r="622" spans="1:23" ht="13" x14ac:dyDescent="0.1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</row>
    <row r="623" spans="1:23" ht="13" x14ac:dyDescent="0.1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</row>
    <row r="624" spans="1:23" ht="13" x14ac:dyDescent="0.1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</row>
    <row r="625" spans="1:23" ht="13" x14ac:dyDescent="0.1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</row>
    <row r="626" spans="1:23" ht="13" x14ac:dyDescent="0.1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</row>
    <row r="627" spans="1:23" ht="13" x14ac:dyDescent="0.1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</row>
    <row r="628" spans="1:23" ht="13" x14ac:dyDescent="0.1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</row>
    <row r="629" spans="1:23" ht="13" x14ac:dyDescent="0.1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</row>
    <row r="630" spans="1:23" ht="13" x14ac:dyDescent="0.1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</row>
    <row r="631" spans="1:23" ht="13" x14ac:dyDescent="0.1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</row>
    <row r="632" spans="1:23" ht="13" x14ac:dyDescent="0.1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</row>
    <row r="633" spans="1:23" ht="13" x14ac:dyDescent="0.1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</row>
    <row r="634" spans="1:23" ht="13" x14ac:dyDescent="0.1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</row>
    <row r="635" spans="1:23" ht="13" x14ac:dyDescent="0.1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</row>
    <row r="636" spans="1:23" ht="13" x14ac:dyDescent="0.1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</row>
    <row r="637" spans="1:23" ht="13" x14ac:dyDescent="0.1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</row>
    <row r="638" spans="1:23" ht="13" x14ac:dyDescent="0.1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</row>
    <row r="639" spans="1:23" ht="13" x14ac:dyDescent="0.1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</row>
    <row r="640" spans="1:23" ht="13" x14ac:dyDescent="0.1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</row>
    <row r="641" spans="1:23" ht="13" x14ac:dyDescent="0.1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</row>
    <row r="642" spans="1:23" ht="13" x14ac:dyDescent="0.1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</row>
    <row r="643" spans="1:23" ht="13" x14ac:dyDescent="0.1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</row>
    <row r="644" spans="1:23" ht="13" x14ac:dyDescent="0.1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</row>
    <row r="645" spans="1:23" ht="13" x14ac:dyDescent="0.1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</row>
    <row r="646" spans="1:23" ht="13" x14ac:dyDescent="0.1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</row>
    <row r="647" spans="1:23" ht="13" x14ac:dyDescent="0.1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</row>
    <row r="648" spans="1:23" ht="13" x14ac:dyDescent="0.1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</row>
    <row r="649" spans="1:23" ht="13" x14ac:dyDescent="0.1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</row>
    <row r="650" spans="1:23" ht="13" x14ac:dyDescent="0.1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</row>
    <row r="651" spans="1:23" ht="13" x14ac:dyDescent="0.1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</row>
    <row r="652" spans="1:23" ht="13" x14ac:dyDescent="0.1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</row>
    <row r="653" spans="1:23" ht="13" x14ac:dyDescent="0.1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</row>
    <row r="654" spans="1:23" ht="13" x14ac:dyDescent="0.1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</row>
    <row r="655" spans="1:23" ht="13" x14ac:dyDescent="0.1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</row>
    <row r="656" spans="1:23" ht="13" x14ac:dyDescent="0.1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</row>
    <row r="657" spans="1:23" ht="13" x14ac:dyDescent="0.1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</row>
    <row r="658" spans="1:23" ht="13" x14ac:dyDescent="0.1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</row>
    <row r="659" spans="1:23" ht="13" x14ac:dyDescent="0.1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</row>
    <row r="660" spans="1:23" ht="13" x14ac:dyDescent="0.1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</row>
    <row r="661" spans="1:23" ht="13" x14ac:dyDescent="0.1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</row>
    <row r="662" spans="1:23" ht="13" x14ac:dyDescent="0.1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</row>
    <row r="663" spans="1:23" ht="13" x14ac:dyDescent="0.1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</row>
    <row r="664" spans="1:23" ht="13" x14ac:dyDescent="0.1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</row>
    <row r="665" spans="1:23" ht="13" x14ac:dyDescent="0.1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</row>
    <row r="666" spans="1:23" ht="13" x14ac:dyDescent="0.1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</row>
    <row r="667" spans="1:23" ht="13" x14ac:dyDescent="0.1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</row>
    <row r="668" spans="1:23" ht="13" x14ac:dyDescent="0.1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</row>
    <row r="669" spans="1:23" ht="13" x14ac:dyDescent="0.1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</row>
    <row r="670" spans="1:23" ht="13" x14ac:dyDescent="0.1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</row>
    <row r="671" spans="1:23" ht="13" x14ac:dyDescent="0.1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</row>
    <row r="672" spans="1:23" ht="13" x14ac:dyDescent="0.1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</row>
    <row r="673" spans="1:23" ht="13" x14ac:dyDescent="0.1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</row>
    <row r="674" spans="1:23" ht="13" x14ac:dyDescent="0.1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</row>
    <row r="675" spans="1:23" ht="13" x14ac:dyDescent="0.1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</row>
    <row r="676" spans="1:23" ht="13" x14ac:dyDescent="0.1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</row>
    <row r="677" spans="1:23" ht="13" x14ac:dyDescent="0.1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</row>
    <row r="678" spans="1:23" ht="13" x14ac:dyDescent="0.1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</row>
    <row r="679" spans="1:23" ht="13" x14ac:dyDescent="0.1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</row>
    <row r="680" spans="1:23" ht="13" x14ac:dyDescent="0.1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</row>
    <row r="681" spans="1:23" ht="13" x14ac:dyDescent="0.1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</row>
    <row r="682" spans="1:23" ht="13" x14ac:dyDescent="0.1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</row>
    <row r="683" spans="1:23" ht="13" x14ac:dyDescent="0.1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</row>
    <row r="684" spans="1:23" ht="13" x14ac:dyDescent="0.1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</row>
    <row r="685" spans="1:23" ht="13" x14ac:dyDescent="0.1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</row>
    <row r="686" spans="1:23" ht="13" x14ac:dyDescent="0.1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</row>
    <row r="687" spans="1:23" ht="13" x14ac:dyDescent="0.1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</row>
    <row r="688" spans="1:23" ht="13" x14ac:dyDescent="0.1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</row>
    <row r="689" spans="1:23" ht="13" x14ac:dyDescent="0.1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</row>
    <row r="690" spans="1:23" ht="13" x14ac:dyDescent="0.1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</row>
    <row r="691" spans="1:23" ht="13" x14ac:dyDescent="0.1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</row>
    <row r="692" spans="1:23" ht="13" x14ac:dyDescent="0.1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</row>
    <row r="693" spans="1:23" ht="13" x14ac:dyDescent="0.1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</row>
    <row r="694" spans="1:23" ht="13" x14ac:dyDescent="0.1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</row>
    <row r="695" spans="1:23" ht="13" x14ac:dyDescent="0.1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</row>
    <row r="696" spans="1:23" ht="13" x14ac:dyDescent="0.1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</row>
    <row r="697" spans="1:23" ht="13" x14ac:dyDescent="0.1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</row>
    <row r="698" spans="1:23" ht="13" x14ac:dyDescent="0.1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</row>
    <row r="699" spans="1:23" ht="13" x14ac:dyDescent="0.1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</row>
    <row r="700" spans="1:23" ht="13" x14ac:dyDescent="0.1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</row>
    <row r="701" spans="1:23" ht="13" x14ac:dyDescent="0.1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</row>
    <row r="702" spans="1:23" ht="13" x14ac:dyDescent="0.1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</row>
    <row r="703" spans="1:23" ht="13" x14ac:dyDescent="0.1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</row>
    <row r="704" spans="1:23" ht="13" x14ac:dyDescent="0.1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</row>
    <row r="705" spans="1:23" ht="13" x14ac:dyDescent="0.1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</row>
    <row r="706" spans="1:23" ht="13" x14ac:dyDescent="0.1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</row>
    <row r="707" spans="1:23" ht="13" x14ac:dyDescent="0.1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</row>
    <row r="708" spans="1:23" ht="13" x14ac:dyDescent="0.1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</row>
    <row r="709" spans="1:23" ht="13" x14ac:dyDescent="0.1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</row>
    <row r="710" spans="1:23" ht="13" x14ac:dyDescent="0.1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</row>
    <row r="711" spans="1:23" ht="13" x14ac:dyDescent="0.1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</row>
    <row r="712" spans="1:23" ht="13" x14ac:dyDescent="0.1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</row>
    <row r="713" spans="1:23" ht="13" x14ac:dyDescent="0.1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</row>
    <row r="714" spans="1:23" ht="13" x14ac:dyDescent="0.1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</row>
    <row r="715" spans="1:23" ht="13" x14ac:dyDescent="0.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</row>
    <row r="716" spans="1:23" ht="13" x14ac:dyDescent="0.1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</row>
    <row r="717" spans="1:23" ht="13" x14ac:dyDescent="0.1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</row>
    <row r="718" spans="1:23" ht="13" x14ac:dyDescent="0.1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</row>
    <row r="719" spans="1:23" ht="13" x14ac:dyDescent="0.1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</row>
    <row r="720" spans="1:23" ht="13" x14ac:dyDescent="0.1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</row>
    <row r="721" spans="1:23" ht="13" x14ac:dyDescent="0.1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</row>
    <row r="722" spans="1:23" ht="13" x14ac:dyDescent="0.1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</row>
    <row r="723" spans="1:23" ht="13" x14ac:dyDescent="0.1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</row>
    <row r="724" spans="1:23" ht="13" x14ac:dyDescent="0.1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</row>
    <row r="725" spans="1:23" ht="13" x14ac:dyDescent="0.1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</row>
    <row r="726" spans="1:23" ht="13" x14ac:dyDescent="0.1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</row>
    <row r="727" spans="1:23" ht="13" x14ac:dyDescent="0.1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</row>
    <row r="728" spans="1:23" ht="13" x14ac:dyDescent="0.1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</row>
    <row r="729" spans="1:23" ht="13" x14ac:dyDescent="0.1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</row>
    <row r="730" spans="1:23" ht="13" x14ac:dyDescent="0.1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</row>
    <row r="731" spans="1:23" ht="13" x14ac:dyDescent="0.1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</row>
    <row r="732" spans="1:23" ht="13" x14ac:dyDescent="0.1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</row>
    <row r="733" spans="1:23" ht="13" x14ac:dyDescent="0.1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</row>
    <row r="734" spans="1:23" ht="13" x14ac:dyDescent="0.1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</row>
    <row r="735" spans="1:23" ht="13" x14ac:dyDescent="0.1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</row>
    <row r="736" spans="1:23" ht="13" x14ac:dyDescent="0.1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</row>
    <row r="737" spans="1:23" ht="13" x14ac:dyDescent="0.1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</row>
    <row r="738" spans="1:23" ht="13" x14ac:dyDescent="0.1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</row>
    <row r="739" spans="1:23" ht="13" x14ac:dyDescent="0.1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</row>
    <row r="740" spans="1:23" ht="13" x14ac:dyDescent="0.1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</row>
    <row r="741" spans="1:23" ht="13" x14ac:dyDescent="0.1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</row>
    <row r="742" spans="1:23" ht="13" x14ac:dyDescent="0.1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</row>
    <row r="743" spans="1:23" ht="13" x14ac:dyDescent="0.1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</row>
    <row r="744" spans="1:23" ht="13" x14ac:dyDescent="0.1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</row>
    <row r="745" spans="1:23" ht="13" x14ac:dyDescent="0.1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</row>
    <row r="746" spans="1:23" ht="13" x14ac:dyDescent="0.1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</row>
    <row r="747" spans="1:23" ht="13" x14ac:dyDescent="0.1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</row>
    <row r="748" spans="1:23" ht="13" x14ac:dyDescent="0.1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</row>
    <row r="749" spans="1:23" ht="13" x14ac:dyDescent="0.1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</row>
    <row r="750" spans="1:23" ht="13" x14ac:dyDescent="0.1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</row>
    <row r="751" spans="1:23" ht="13" x14ac:dyDescent="0.1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</row>
    <row r="752" spans="1:23" ht="13" x14ac:dyDescent="0.1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</row>
    <row r="753" spans="1:23" ht="13" x14ac:dyDescent="0.1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</row>
    <row r="754" spans="1:23" ht="13" x14ac:dyDescent="0.1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</row>
    <row r="755" spans="1:23" ht="13" x14ac:dyDescent="0.1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</row>
    <row r="756" spans="1:23" ht="13" x14ac:dyDescent="0.1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</row>
    <row r="757" spans="1:23" ht="13" x14ac:dyDescent="0.1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</row>
    <row r="758" spans="1:23" ht="13" x14ac:dyDescent="0.1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</row>
    <row r="759" spans="1:23" ht="13" x14ac:dyDescent="0.1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</row>
    <row r="760" spans="1:23" ht="13" x14ac:dyDescent="0.1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</row>
    <row r="761" spans="1:23" ht="13" x14ac:dyDescent="0.1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</row>
    <row r="762" spans="1:23" ht="13" x14ac:dyDescent="0.1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</row>
    <row r="763" spans="1:23" ht="13" x14ac:dyDescent="0.1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</row>
    <row r="764" spans="1:23" ht="13" x14ac:dyDescent="0.1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</row>
    <row r="765" spans="1:23" ht="13" x14ac:dyDescent="0.1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</row>
    <row r="766" spans="1:23" ht="13" x14ac:dyDescent="0.1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</row>
    <row r="767" spans="1:23" ht="13" x14ac:dyDescent="0.1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</row>
    <row r="768" spans="1:23" ht="13" x14ac:dyDescent="0.1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</row>
    <row r="769" spans="1:23" ht="13" x14ac:dyDescent="0.1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</row>
    <row r="770" spans="1:23" ht="13" x14ac:dyDescent="0.1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</row>
    <row r="771" spans="1:23" ht="13" x14ac:dyDescent="0.1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</row>
    <row r="772" spans="1:23" ht="13" x14ac:dyDescent="0.1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</row>
    <row r="773" spans="1:23" ht="13" x14ac:dyDescent="0.1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</row>
    <row r="774" spans="1:23" ht="13" x14ac:dyDescent="0.1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</row>
    <row r="775" spans="1:23" ht="13" x14ac:dyDescent="0.1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</row>
    <row r="776" spans="1:23" ht="13" x14ac:dyDescent="0.1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</row>
    <row r="777" spans="1:23" ht="13" x14ac:dyDescent="0.1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</row>
    <row r="778" spans="1:23" ht="13" x14ac:dyDescent="0.1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</row>
    <row r="779" spans="1:23" ht="13" x14ac:dyDescent="0.1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</row>
    <row r="780" spans="1:23" ht="13" x14ac:dyDescent="0.1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</row>
    <row r="781" spans="1:23" ht="13" x14ac:dyDescent="0.1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</row>
    <row r="782" spans="1:23" ht="13" x14ac:dyDescent="0.1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</row>
    <row r="783" spans="1:23" ht="13" x14ac:dyDescent="0.1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</row>
    <row r="784" spans="1:23" ht="13" x14ac:dyDescent="0.1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</row>
    <row r="785" spans="1:23" ht="13" x14ac:dyDescent="0.1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</row>
    <row r="786" spans="1:23" ht="13" x14ac:dyDescent="0.1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</row>
    <row r="787" spans="1:23" ht="13" x14ac:dyDescent="0.1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</row>
    <row r="788" spans="1:23" ht="13" x14ac:dyDescent="0.1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</row>
    <row r="789" spans="1:23" ht="13" x14ac:dyDescent="0.1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</row>
    <row r="790" spans="1:23" ht="13" x14ac:dyDescent="0.1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</row>
    <row r="791" spans="1:23" ht="13" x14ac:dyDescent="0.1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</row>
    <row r="792" spans="1:23" ht="13" x14ac:dyDescent="0.1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</row>
    <row r="793" spans="1:23" ht="13" x14ac:dyDescent="0.1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</row>
    <row r="794" spans="1:23" ht="13" x14ac:dyDescent="0.1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</row>
    <row r="795" spans="1:23" ht="13" x14ac:dyDescent="0.1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</row>
    <row r="796" spans="1:23" ht="13" x14ac:dyDescent="0.1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</row>
    <row r="797" spans="1:23" ht="13" x14ac:dyDescent="0.1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</row>
    <row r="798" spans="1:23" ht="13" x14ac:dyDescent="0.1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</row>
    <row r="799" spans="1:23" ht="13" x14ac:dyDescent="0.1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</row>
    <row r="800" spans="1:23" ht="13" x14ac:dyDescent="0.1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</row>
    <row r="801" spans="1:23" ht="13" x14ac:dyDescent="0.1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</row>
    <row r="802" spans="1:23" ht="13" x14ac:dyDescent="0.1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</row>
    <row r="803" spans="1:23" ht="13" x14ac:dyDescent="0.1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</row>
    <row r="804" spans="1:23" ht="13" x14ac:dyDescent="0.1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</row>
    <row r="805" spans="1:23" ht="13" x14ac:dyDescent="0.1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</row>
    <row r="806" spans="1:23" ht="13" x14ac:dyDescent="0.1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</row>
    <row r="807" spans="1:23" ht="13" x14ac:dyDescent="0.1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</row>
    <row r="808" spans="1:23" ht="13" x14ac:dyDescent="0.1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</row>
    <row r="809" spans="1:23" ht="13" x14ac:dyDescent="0.1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</row>
    <row r="810" spans="1:23" ht="13" x14ac:dyDescent="0.1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</row>
    <row r="811" spans="1:23" ht="13" x14ac:dyDescent="0.1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</row>
    <row r="812" spans="1:23" ht="13" x14ac:dyDescent="0.1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</row>
    <row r="813" spans="1:23" ht="13" x14ac:dyDescent="0.1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</row>
    <row r="814" spans="1:23" ht="13" x14ac:dyDescent="0.1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</row>
    <row r="815" spans="1:23" ht="13" x14ac:dyDescent="0.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</row>
    <row r="816" spans="1:23" ht="13" x14ac:dyDescent="0.1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</row>
    <row r="817" spans="1:23" ht="13" x14ac:dyDescent="0.1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</row>
    <row r="818" spans="1:23" ht="13" x14ac:dyDescent="0.1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</row>
    <row r="819" spans="1:23" ht="13" x14ac:dyDescent="0.1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</row>
    <row r="820" spans="1:23" ht="13" x14ac:dyDescent="0.1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</row>
    <row r="821" spans="1:23" ht="13" x14ac:dyDescent="0.1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</row>
    <row r="822" spans="1:23" ht="13" x14ac:dyDescent="0.1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</row>
    <row r="823" spans="1:23" ht="13" x14ac:dyDescent="0.1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</row>
    <row r="824" spans="1:23" ht="13" x14ac:dyDescent="0.1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</row>
    <row r="825" spans="1:23" ht="13" x14ac:dyDescent="0.1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</row>
    <row r="826" spans="1:23" ht="13" x14ac:dyDescent="0.1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</row>
    <row r="827" spans="1:23" ht="13" x14ac:dyDescent="0.1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</row>
    <row r="828" spans="1:23" ht="13" x14ac:dyDescent="0.1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</row>
    <row r="829" spans="1:23" ht="13" x14ac:dyDescent="0.1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</row>
    <row r="830" spans="1:23" ht="13" x14ac:dyDescent="0.1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</row>
    <row r="831" spans="1:23" ht="13" x14ac:dyDescent="0.1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</row>
    <row r="832" spans="1:23" ht="13" x14ac:dyDescent="0.1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</row>
    <row r="833" spans="1:23" ht="13" x14ac:dyDescent="0.1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</row>
    <row r="834" spans="1:23" ht="13" x14ac:dyDescent="0.1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</row>
    <row r="835" spans="1:23" ht="13" x14ac:dyDescent="0.1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</row>
    <row r="836" spans="1:23" ht="13" x14ac:dyDescent="0.1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</row>
    <row r="837" spans="1:23" ht="13" x14ac:dyDescent="0.1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</row>
    <row r="838" spans="1:23" ht="13" x14ac:dyDescent="0.1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</row>
    <row r="839" spans="1:23" ht="13" x14ac:dyDescent="0.1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</row>
    <row r="840" spans="1:23" ht="13" x14ac:dyDescent="0.1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</row>
    <row r="841" spans="1:23" ht="13" x14ac:dyDescent="0.1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</row>
    <row r="842" spans="1:23" ht="13" x14ac:dyDescent="0.1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</row>
    <row r="843" spans="1:23" ht="13" x14ac:dyDescent="0.1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</row>
    <row r="844" spans="1:23" ht="13" x14ac:dyDescent="0.1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</row>
    <row r="845" spans="1:23" ht="13" x14ac:dyDescent="0.1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</row>
    <row r="846" spans="1:23" ht="13" x14ac:dyDescent="0.1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</row>
    <row r="847" spans="1:23" ht="13" x14ac:dyDescent="0.1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</row>
    <row r="848" spans="1:23" ht="13" x14ac:dyDescent="0.1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</row>
    <row r="849" spans="1:23" ht="13" x14ac:dyDescent="0.1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</row>
    <row r="850" spans="1:23" ht="13" x14ac:dyDescent="0.1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</row>
    <row r="851" spans="1:23" ht="13" x14ac:dyDescent="0.1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</row>
    <row r="852" spans="1:23" ht="13" x14ac:dyDescent="0.1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</row>
    <row r="853" spans="1:23" ht="13" x14ac:dyDescent="0.1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</row>
    <row r="854" spans="1:23" ht="13" x14ac:dyDescent="0.1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</row>
    <row r="855" spans="1:23" ht="13" x14ac:dyDescent="0.1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</row>
    <row r="856" spans="1:23" ht="13" x14ac:dyDescent="0.1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</row>
    <row r="857" spans="1:23" ht="13" x14ac:dyDescent="0.1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</row>
    <row r="858" spans="1:23" ht="13" x14ac:dyDescent="0.1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</row>
    <row r="859" spans="1:23" ht="13" x14ac:dyDescent="0.1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</row>
    <row r="860" spans="1:23" ht="13" x14ac:dyDescent="0.1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</row>
    <row r="861" spans="1:23" ht="13" x14ac:dyDescent="0.1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</row>
    <row r="862" spans="1:23" ht="13" x14ac:dyDescent="0.1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</row>
    <row r="863" spans="1:23" ht="13" x14ac:dyDescent="0.1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</row>
    <row r="864" spans="1:23" ht="13" x14ac:dyDescent="0.1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</row>
    <row r="865" spans="1:23" ht="13" x14ac:dyDescent="0.1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</row>
    <row r="866" spans="1:23" ht="13" x14ac:dyDescent="0.1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</row>
    <row r="867" spans="1:23" ht="13" x14ac:dyDescent="0.1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</row>
    <row r="868" spans="1:23" ht="13" x14ac:dyDescent="0.1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</row>
    <row r="869" spans="1:23" ht="13" x14ac:dyDescent="0.1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</row>
    <row r="870" spans="1:23" ht="13" x14ac:dyDescent="0.1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</row>
    <row r="871" spans="1:23" ht="13" x14ac:dyDescent="0.1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</row>
    <row r="872" spans="1:23" ht="13" x14ac:dyDescent="0.1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</row>
    <row r="873" spans="1:23" ht="13" x14ac:dyDescent="0.1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</row>
    <row r="874" spans="1:23" ht="13" x14ac:dyDescent="0.1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</row>
    <row r="875" spans="1:23" ht="13" x14ac:dyDescent="0.1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</row>
    <row r="876" spans="1:23" ht="13" x14ac:dyDescent="0.1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</row>
    <row r="877" spans="1:23" ht="13" x14ac:dyDescent="0.1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</row>
    <row r="878" spans="1:23" ht="13" x14ac:dyDescent="0.1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</row>
    <row r="879" spans="1:23" ht="13" x14ac:dyDescent="0.1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</row>
    <row r="880" spans="1:23" ht="13" x14ac:dyDescent="0.1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</row>
    <row r="881" spans="1:23" ht="13" x14ac:dyDescent="0.1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</row>
    <row r="882" spans="1:23" ht="13" x14ac:dyDescent="0.1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</row>
    <row r="883" spans="1:23" ht="13" x14ac:dyDescent="0.1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</row>
    <row r="884" spans="1:23" ht="13" x14ac:dyDescent="0.1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</row>
    <row r="885" spans="1:23" ht="13" x14ac:dyDescent="0.1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</row>
    <row r="886" spans="1:23" ht="13" x14ac:dyDescent="0.1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</row>
    <row r="887" spans="1:23" ht="13" x14ac:dyDescent="0.1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</row>
    <row r="888" spans="1:23" ht="13" x14ac:dyDescent="0.1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</row>
    <row r="889" spans="1:23" ht="13" x14ac:dyDescent="0.1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</row>
    <row r="890" spans="1:23" ht="13" x14ac:dyDescent="0.1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</row>
    <row r="891" spans="1:23" ht="13" x14ac:dyDescent="0.1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</row>
    <row r="892" spans="1:23" ht="13" x14ac:dyDescent="0.1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</row>
    <row r="893" spans="1:23" ht="13" x14ac:dyDescent="0.1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</row>
    <row r="894" spans="1:23" ht="13" x14ac:dyDescent="0.1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</row>
    <row r="895" spans="1:23" ht="13" x14ac:dyDescent="0.1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</row>
    <row r="896" spans="1:23" ht="13" x14ac:dyDescent="0.1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</row>
    <row r="897" spans="1:23" ht="13" x14ac:dyDescent="0.1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</row>
    <row r="898" spans="1:23" ht="13" x14ac:dyDescent="0.1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</row>
    <row r="899" spans="1:23" ht="13" x14ac:dyDescent="0.1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</row>
    <row r="900" spans="1:23" ht="13" x14ac:dyDescent="0.1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</row>
    <row r="901" spans="1:23" ht="13" x14ac:dyDescent="0.1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</row>
    <row r="902" spans="1:23" ht="13" x14ac:dyDescent="0.1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</row>
    <row r="903" spans="1:23" ht="13" x14ac:dyDescent="0.1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</row>
    <row r="904" spans="1:23" ht="13" x14ac:dyDescent="0.1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</row>
    <row r="905" spans="1:23" ht="13" x14ac:dyDescent="0.1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</row>
    <row r="906" spans="1:23" ht="13" x14ac:dyDescent="0.1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</row>
    <row r="907" spans="1:23" ht="13" x14ac:dyDescent="0.1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</row>
    <row r="908" spans="1:23" ht="13" x14ac:dyDescent="0.1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</row>
    <row r="909" spans="1:23" ht="13" x14ac:dyDescent="0.1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</row>
    <row r="910" spans="1:23" ht="13" x14ac:dyDescent="0.1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</row>
    <row r="911" spans="1:23" ht="13" x14ac:dyDescent="0.1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</row>
    <row r="912" spans="1:23" ht="13" x14ac:dyDescent="0.1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</row>
    <row r="913" spans="1:23" ht="13" x14ac:dyDescent="0.1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</row>
    <row r="914" spans="1:23" ht="13" x14ac:dyDescent="0.1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</row>
    <row r="915" spans="1:23" ht="13" x14ac:dyDescent="0.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</row>
    <row r="916" spans="1:23" ht="13" x14ac:dyDescent="0.1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</row>
    <row r="917" spans="1:23" ht="13" x14ac:dyDescent="0.1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</row>
    <row r="918" spans="1:23" ht="13" x14ac:dyDescent="0.1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</row>
    <row r="919" spans="1:23" ht="13" x14ac:dyDescent="0.1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</row>
    <row r="920" spans="1:23" ht="13" x14ac:dyDescent="0.1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</row>
    <row r="921" spans="1:23" ht="13" x14ac:dyDescent="0.1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</row>
    <row r="922" spans="1:23" ht="13" x14ac:dyDescent="0.1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</row>
    <row r="923" spans="1:23" ht="13" x14ac:dyDescent="0.1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</row>
    <row r="924" spans="1:23" ht="13" x14ac:dyDescent="0.1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</row>
    <row r="925" spans="1:23" ht="13" x14ac:dyDescent="0.1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</row>
    <row r="926" spans="1:23" ht="13" x14ac:dyDescent="0.1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</row>
    <row r="927" spans="1:23" ht="13" x14ac:dyDescent="0.1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</row>
    <row r="928" spans="1:23" ht="13" x14ac:dyDescent="0.1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</row>
    <row r="929" spans="1:23" ht="13" x14ac:dyDescent="0.1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</row>
    <row r="930" spans="1:23" ht="13" x14ac:dyDescent="0.1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</row>
    <row r="931" spans="1:23" ht="13" x14ac:dyDescent="0.1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</row>
    <row r="932" spans="1:23" ht="13" x14ac:dyDescent="0.1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</row>
    <row r="933" spans="1:23" ht="13" x14ac:dyDescent="0.1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</row>
    <row r="934" spans="1:23" ht="13" x14ac:dyDescent="0.1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</row>
    <row r="935" spans="1:23" ht="13" x14ac:dyDescent="0.1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</row>
    <row r="936" spans="1:23" ht="13" x14ac:dyDescent="0.1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</row>
    <row r="937" spans="1:23" ht="13" x14ac:dyDescent="0.1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</row>
    <row r="938" spans="1:23" ht="13" x14ac:dyDescent="0.1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</row>
    <row r="939" spans="1:23" ht="13" x14ac:dyDescent="0.1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</row>
    <row r="940" spans="1:23" ht="13" x14ac:dyDescent="0.1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</row>
    <row r="941" spans="1:23" ht="13" x14ac:dyDescent="0.1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</row>
    <row r="942" spans="1:23" ht="13" x14ac:dyDescent="0.1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</row>
    <row r="943" spans="1:23" ht="13" x14ac:dyDescent="0.1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</row>
    <row r="944" spans="1:23" ht="13" x14ac:dyDescent="0.1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</row>
    <row r="945" spans="1:23" ht="13" x14ac:dyDescent="0.1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</row>
    <row r="946" spans="1:23" ht="13" x14ac:dyDescent="0.1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</row>
    <row r="947" spans="1:23" ht="13" x14ac:dyDescent="0.1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</row>
    <row r="948" spans="1:23" ht="13" x14ac:dyDescent="0.1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</row>
    <row r="949" spans="1:23" ht="13" x14ac:dyDescent="0.1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</row>
    <row r="950" spans="1:23" ht="13" x14ac:dyDescent="0.1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</row>
    <row r="951" spans="1:23" ht="13" x14ac:dyDescent="0.1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</row>
    <row r="952" spans="1:23" ht="13" x14ac:dyDescent="0.1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</row>
    <row r="953" spans="1:23" ht="13" x14ac:dyDescent="0.1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</row>
    <row r="954" spans="1:23" ht="13" x14ac:dyDescent="0.1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</row>
    <row r="955" spans="1:23" ht="13" x14ac:dyDescent="0.1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</row>
    <row r="956" spans="1:23" ht="13" x14ac:dyDescent="0.1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</row>
    <row r="957" spans="1:23" ht="13" x14ac:dyDescent="0.1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</row>
    <row r="958" spans="1:23" ht="13" x14ac:dyDescent="0.1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</row>
    <row r="959" spans="1:23" ht="13" x14ac:dyDescent="0.1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</row>
    <row r="960" spans="1:23" ht="13" x14ac:dyDescent="0.1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</row>
    <row r="961" spans="1:23" ht="13" x14ac:dyDescent="0.1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</row>
    <row r="962" spans="1:23" ht="13" x14ac:dyDescent="0.1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</row>
    <row r="963" spans="1:23" ht="13" x14ac:dyDescent="0.1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</row>
    <row r="964" spans="1:23" ht="13" x14ac:dyDescent="0.1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</row>
    <row r="965" spans="1:23" ht="13" x14ac:dyDescent="0.1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</row>
    <row r="966" spans="1:23" ht="13" x14ac:dyDescent="0.1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</row>
    <row r="967" spans="1:23" ht="13" x14ac:dyDescent="0.1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</row>
    <row r="968" spans="1:23" ht="13" x14ac:dyDescent="0.1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</row>
    <row r="969" spans="1:23" ht="13" x14ac:dyDescent="0.1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</row>
    <row r="970" spans="1:23" ht="13" x14ac:dyDescent="0.1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</row>
    <row r="971" spans="1:23" ht="13" x14ac:dyDescent="0.1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</row>
    <row r="972" spans="1:23" ht="13" x14ac:dyDescent="0.1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</row>
    <row r="973" spans="1:23" ht="13" x14ac:dyDescent="0.1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</row>
    <row r="974" spans="1:23" ht="13" x14ac:dyDescent="0.1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</row>
    <row r="975" spans="1:23" ht="13" x14ac:dyDescent="0.1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</row>
    <row r="976" spans="1:23" ht="13" x14ac:dyDescent="0.1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</row>
    <row r="977" spans="1:23" ht="13" x14ac:dyDescent="0.1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</row>
    <row r="978" spans="1:23" ht="13" x14ac:dyDescent="0.1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</row>
    <row r="979" spans="1:23" ht="13" x14ac:dyDescent="0.1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</row>
    <row r="980" spans="1:23" ht="13" x14ac:dyDescent="0.1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</row>
    <row r="981" spans="1:23" ht="13" x14ac:dyDescent="0.1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</row>
    <row r="982" spans="1:23" ht="13" x14ac:dyDescent="0.1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</row>
    <row r="983" spans="1:23" ht="13" x14ac:dyDescent="0.1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</row>
    <row r="984" spans="1:23" ht="13" x14ac:dyDescent="0.1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</row>
    <row r="985" spans="1:23" ht="13" x14ac:dyDescent="0.1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</row>
    <row r="986" spans="1:23" ht="13" x14ac:dyDescent="0.1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</row>
    <row r="987" spans="1:23" ht="13" x14ac:dyDescent="0.1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</row>
    <row r="988" spans="1:23" ht="13" x14ac:dyDescent="0.1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</row>
    <row r="989" spans="1:23" ht="13" x14ac:dyDescent="0.1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</row>
    <row r="990" spans="1:23" ht="13" x14ac:dyDescent="0.1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</row>
    <row r="991" spans="1:23" ht="13" x14ac:dyDescent="0.1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</row>
    <row r="992" spans="1:23" ht="13" x14ac:dyDescent="0.1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</row>
    <row r="993" spans="1:23" ht="13" x14ac:dyDescent="0.1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</row>
    <row r="994" spans="1:23" ht="13" x14ac:dyDescent="0.1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</row>
    <row r="995" spans="1:23" ht="13" x14ac:dyDescent="0.1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</row>
    <row r="996" spans="1:23" ht="13" x14ac:dyDescent="0.1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</row>
    <row r="997" spans="1:23" ht="13" x14ac:dyDescent="0.1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</row>
    <row r="998" spans="1:23" ht="13" x14ac:dyDescent="0.1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</row>
    <row r="999" spans="1:23" ht="13" x14ac:dyDescent="0.1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</row>
    <row r="1000" spans="1:23" ht="13" x14ac:dyDescent="0.1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</row>
    <row r="1001" spans="1:23" ht="13" x14ac:dyDescent="0.15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</row>
    <row r="1002" spans="1:23" ht="13" x14ac:dyDescent="0.15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Club Overview</vt:lpstr>
      <vt:lpstr>Club Tracker</vt:lpstr>
      <vt:lpstr>POR-1</vt:lpstr>
      <vt:lpstr>Club Requests</vt:lpstr>
      <vt:lpstr>Live Demand Signal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Miller-Charlton</cp:lastModifiedBy>
  <dcterms:created xsi:type="dcterms:W3CDTF">2026-05-13T06:18:10Z</dcterms:created>
  <dcterms:modified xsi:type="dcterms:W3CDTF">2026-05-13T06:18:10Z</dcterms:modified>
</cp:coreProperties>
</file>