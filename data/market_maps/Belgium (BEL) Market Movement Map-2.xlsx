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market_maps/"/>
    </mc:Choice>
  </mc:AlternateContent>
  <xr:revisionPtr revIDLastSave="0" documentId="8_{8508E672-504D-794B-A2F7-1F0163B12F40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Club Overview" sheetId="1" r:id="rId1"/>
    <sheet name="Club Tracker" sheetId="2" r:id="rId2"/>
    <sheet name="BEL-1 " sheetId="3" r:id="rId3"/>
    <sheet name="Club Requests" sheetId="4" r:id="rId4"/>
    <sheet name="Live Demand Signal" sheetId="5" r:id="rId5"/>
  </sheets>
  <definedNames>
    <definedName name="_xlnm._FilterDatabase" localSheetId="3" hidden="1">'Club Requests'!$A$1:$L$85</definedName>
    <definedName name="_xlnm._FilterDatabase" localSheetId="1" hidden="1">'Club Tracker'!$A$1:$T$17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<sst xmlns="http://schemas.openxmlformats.org/spreadsheetml/2006/main" count="1678" uniqueCount="621">
  <si>
    <t>Club Name</t>
  </si>
  <si>
    <t>League</t>
  </si>
  <si>
    <t>Formation</t>
  </si>
  <si>
    <t>Manager</t>
  </si>
  <si>
    <t>Agent Preferences</t>
  </si>
  <si>
    <t>Sci Skill Rotation Player Level</t>
  </si>
  <si>
    <t>Sci Skill 1st Team Level</t>
  </si>
  <si>
    <t>Sci Skill Key Player Level</t>
  </si>
  <si>
    <t>Highest Transfer Fee 25/26
€</t>
  </si>
  <si>
    <t>Highest Sale 25/26
€</t>
  </si>
  <si>
    <t>Max Salary PW 25/26
€</t>
  </si>
  <si>
    <t>Cercle Brugge</t>
  </si>
  <si>
    <t>Belgium 1</t>
  </si>
  <si>
    <t>Lars Friis</t>
  </si>
  <si>
    <t>N/A</t>
  </si>
  <si>
    <t>Club Brugge KV</t>
  </si>
  <si>
    <t>Ivan Leko</t>
  </si>
  <si>
    <t>Wasserman</t>
  </si>
  <si>
    <t>FCV Dender EH</t>
  </si>
  <si>
    <t>Yannick Ferrera</t>
  </si>
  <si>
    <t>KAA Gent</t>
  </si>
  <si>
    <t>Rik De Mil</t>
  </si>
  <si>
    <t>KRC Genk</t>
  </si>
  <si>
    <t>Nicky Hayen</t>
  </si>
  <si>
    <t>DWMA, Stirr Associates</t>
  </si>
  <si>
    <t>KV Mechelen</t>
  </si>
  <si>
    <t>Frederic Vanderbiest</t>
  </si>
  <si>
    <t>KVC Westerlo</t>
  </si>
  <si>
    <t>Issame Charai</t>
  </si>
  <si>
    <t>FutureBall</t>
  </si>
  <si>
    <t>Oud-Heverlee Leuven</t>
  </si>
  <si>
    <t>Felice Mazzu</t>
  </si>
  <si>
    <t>RAAL La Louviere</t>
  </si>
  <si>
    <t>Frederic Taquin</t>
  </si>
  <si>
    <t>Royal Antwerp FC</t>
  </si>
  <si>
    <t>Joseph Oosting</t>
  </si>
  <si>
    <t>Stirr Associates</t>
  </si>
  <si>
    <t>Royal Charleroi SC</t>
  </si>
  <si>
    <t>Hans Cornelis</t>
  </si>
  <si>
    <t>RSC Anderlecht</t>
  </si>
  <si>
    <t>Jeremy Taravel</t>
  </si>
  <si>
    <t>Sint-Truidense VV</t>
  </si>
  <si>
    <t>Wouter Vrancken</t>
  </si>
  <si>
    <t>Libera Sports, UDN Sports</t>
  </si>
  <si>
    <t>Standard Liege</t>
  </si>
  <si>
    <t>Vincent Euvrard</t>
  </si>
  <si>
    <t>Union Saint-Gilloise</t>
  </si>
  <si>
    <t>David Hubert</t>
  </si>
  <si>
    <t>Zulte Waregem</t>
  </si>
  <si>
    <t>Sven Vandenbroeck</t>
  </si>
  <si>
    <t>Club</t>
  </si>
  <si>
    <t>GK</t>
  </si>
  <si>
    <t>RB</t>
  </si>
  <si>
    <t>RCB</t>
  </si>
  <si>
    <t>LCB</t>
  </si>
  <si>
    <t>LB</t>
  </si>
  <si>
    <t>DM</t>
  </si>
  <si>
    <t>CM</t>
  </si>
  <si>
    <t>AM</t>
  </si>
  <si>
    <t>RW</t>
  </si>
  <si>
    <t>LW</t>
  </si>
  <si>
    <t>CF</t>
  </si>
  <si>
    <t>Total Positional Gaps</t>
  </si>
  <si>
    <t>Transfer Active?</t>
  </si>
  <si>
    <t>Transfer Focus</t>
  </si>
  <si>
    <t>From Intel?</t>
  </si>
  <si>
    <t>From Validation?</t>
  </si>
  <si>
    <t>Priority to Recheck?</t>
  </si>
  <si>
    <t>Notes</t>
  </si>
  <si>
    <t>Covered</t>
  </si>
  <si>
    <t>Open</t>
  </si>
  <si>
    <t>Squad Depth Charts</t>
  </si>
  <si>
    <t>CLUB</t>
  </si>
  <si>
    <t>ANDERLECHT</t>
  </si>
  <si>
    <t>COOSEMANS +1</t>
  </si>
  <si>
    <t>CAMARA +4</t>
  </si>
  <si>
    <t>HEY +3</t>
  </si>
  <si>
    <t>DIARRA</t>
  </si>
  <si>
    <t>AUGUSTINSSON +1</t>
  </si>
  <si>
    <t>LLANSANA +3</t>
  </si>
  <si>
    <t>DE CAT +1</t>
  </si>
  <si>
    <t>HAZARD</t>
  </si>
  <si>
    <t>BERTACCINI +4</t>
  </si>
  <si>
    <t>HUERTA +4</t>
  </si>
  <si>
    <t>CVETKOVIC +3</t>
  </si>
  <si>
    <t>IMBRECHTS</t>
  </si>
  <si>
    <t>SARDELLA +2</t>
  </si>
  <si>
    <t>KANA +2</t>
  </si>
  <si>
    <t>ANGELY</t>
  </si>
  <si>
    <t>MAAMAR +2</t>
  </si>
  <si>
    <t>RITS</t>
  </si>
  <si>
    <t>SALIBA +3</t>
  </si>
  <si>
    <t>STROEYKENS +2</t>
  </si>
  <si>
    <t>DEGREEF +2</t>
  </si>
  <si>
    <t>KANATE +2</t>
  </si>
  <si>
    <t>SIKAN +4</t>
  </si>
  <si>
    <t>HEEKEREN +3</t>
  </si>
  <si>
    <t>FOKET +1</t>
  </si>
  <si>
    <t>ILIC</t>
  </si>
  <si>
    <t>TAJAOUART +4</t>
  </si>
  <si>
    <t>FLIPS +3</t>
  </si>
  <si>
    <t>VERSCHAEREN</t>
  </si>
  <si>
    <t>DA COSTA</t>
  </si>
  <si>
    <t>DAO +3</t>
  </si>
  <si>
    <t>ANTWERP</t>
  </si>
  <si>
    <t>NOZAWA +3</t>
  </si>
  <si>
    <t>SOMERS +2</t>
  </si>
  <si>
    <t>DEN BOSCH</t>
  </si>
  <si>
    <t>ENGELS</t>
  </si>
  <si>
    <t>FOULON +2</t>
  </si>
  <si>
    <t>PRAET</t>
  </si>
  <si>
    <t>DIERCKX +1</t>
  </si>
  <si>
    <t>ADEKAMI +1</t>
  </si>
  <si>
    <t>VALENCIA</t>
  </si>
  <si>
    <t>AL-SAHAFI</t>
  </si>
  <si>
    <t>JANSSEN</t>
  </si>
  <si>
    <t>THOELEN</t>
  </si>
  <si>
    <t>BIJL</t>
  </si>
  <si>
    <t>TSUNASHIMA +2</t>
  </si>
  <si>
    <t>VERSTRAETEN +3</t>
  </si>
  <si>
    <t>SCOTT</t>
  </si>
  <si>
    <t>BENITEZ</t>
  </si>
  <si>
    <t>DIAWARA</t>
  </si>
  <si>
    <t>BABADI</t>
  </si>
  <si>
    <t>URINBOEV +3</t>
  </si>
  <si>
    <t>KERK</t>
  </si>
  <si>
    <t>DEVALCKENEER</t>
  </si>
  <si>
    <t>RENDERS +1</t>
  </si>
  <si>
    <t>KOUYATE</t>
  </si>
  <si>
    <t>AHOKA +3</t>
  </si>
  <si>
    <t>HAMDAOUI +1</t>
  </si>
  <si>
    <t>HAIREMANS +2</t>
  </si>
  <si>
    <t>VANDEPLAS +2</t>
  </si>
  <si>
    <t>VAN HELDEN +4</t>
  </si>
  <si>
    <t>DAVID</t>
  </si>
  <si>
    <t>CERCLE BRUGGE</t>
  </si>
  <si>
    <t>WARLESON</t>
  </si>
  <si>
    <t>MAGNEE +3</t>
  </si>
  <si>
    <t>RAVYCH +1</t>
  </si>
  <si>
    <t>CAICEDO +3</t>
  </si>
  <si>
    <t>NAZINHO +3</t>
  </si>
  <si>
    <t>VAN DER BRUGGEN +1</t>
  </si>
  <si>
    <t>GERKENS</t>
  </si>
  <si>
    <t>AGYEKUM +3</t>
  </si>
  <si>
    <t>DIOP</t>
  </si>
  <si>
    <t>NGOURA +2</t>
  </si>
  <si>
    <t>DELANGHE +2</t>
  </si>
  <si>
    <t>DIAKITE +2</t>
  </si>
  <si>
    <t>KAKOU +1</t>
  </si>
  <si>
    <t>KONDO +3</t>
  </si>
  <si>
    <t>DIABY +3</t>
  </si>
  <si>
    <t>DE WILDE</t>
  </si>
  <si>
    <t>HERRMANN</t>
  </si>
  <si>
    <t>JURADO +2</t>
  </si>
  <si>
    <t>DIAKITE</t>
  </si>
  <si>
    <t>LANGENBICK +2</t>
  </si>
  <si>
    <t>NUNES +3</t>
  </si>
  <si>
    <t>KONATE</t>
  </si>
  <si>
    <t>KOUASSI +4</t>
  </si>
  <si>
    <t>ADEWUMI</t>
  </si>
  <si>
    <t>VANZEIR</t>
  </si>
  <si>
    <t>OUATARRA +3</t>
  </si>
  <si>
    <t>CHARLEROI</t>
  </si>
  <si>
    <t>DELAVALLEE +1</t>
  </si>
  <si>
    <t>VAN DEN KERKHOF</t>
  </si>
  <si>
    <t>OUSOU +2</t>
  </si>
  <si>
    <t>NZITA +2</t>
  </si>
  <si>
    <t>CAMARA +1</t>
  </si>
  <si>
    <t>TITRAOUI +1</t>
  </si>
  <si>
    <t>PFLUCKE +1</t>
  </si>
  <si>
    <t>BERNIER +2</t>
  </si>
  <si>
    <t>GUIAGON +2</t>
  </si>
  <si>
    <t>SCHEIDLER +2</t>
  </si>
  <si>
    <t>KONE +1</t>
  </si>
  <si>
    <t>BLUM</t>
  </si>
  <si>
    <t>KEITA +1</t>
  </si>
  <si>
    <t>GAUDIN +1</t>
  </si>
  <si>
    <t>BOUKAMIR +1</t>
  </si>
  <si>
    <t>KHALIFI +1</t>
  </si>
  <si>
    <t>ROMSAAS +1</t>
  </si>
  <si>
    <t>SZYMCZAK</t>
  </si>
  <si>
    <t>COLASSIN +2</t>
  </si>
  <si>
    <t>DEFOURNY +1</t>
  </si>
  <si>
    <t>BOUKAMIR</t>
  </si>
  <si>
    <t>KERA +1</t>
  </si>
  <si>
    <t>MBENZA</t>
  </si>
  <si>
    <t>CLOSSET</t>
  </si>
  <si>
    <t>SOW</t>
  </si>
  <si>
    <t>BENAETS</t>
  </si>
  <si>
    <t>DENUIT</t>
  </si>
  <si>
    <t>CLUB BRUGGE</t>
  </si>
  <si>
    <t>JACKERS +4</t>
  </si>
  <si>
    <t>SABBE +2</t>
  </si>
  <si>
    <t>MECHELE +1</t>
  </si>
  <si>
    <t>SEYS +3</t>
  </si>
  <si>
    <t>STANKOVIC +3</t>
  </si>
  <si>
    <t>ONYEDIKA +1</t>
  </si>
  <si>
    <t>VANAKEN +1</t>
  </si>
  <si>
    <t>FORBS +3</t>
  </si>
  <si>
    <t>TZOLIS +3</t>
  </si>
  <si>
    <t>TRESOLDI +3</t>
  </si>
  <si>
    <t>VAN DEN HEUVEL</t>
  </si>
  <si>
    <t>SIQUET +2</t>
  </si>
  <si>
    <t>ORDONEZ +3</t>
  </si>
  <si>
    <t>MEIJER +1</t>
  </si>
  <si>
    <t>AUDOOR +3</t>
  </si>
  <si>
    <t>VETLESEN +1</t>
  </si>
  <si>
    <t>SANDRA +1</t>
  </si>
  <si>
    <t>CAMPBELL +1</t>
  </si>
  <si>
    <t>DIAKHON +3</t>
  </si>
  <si>
    <t>VERMANT +2</t>
  </si>
  <si>
    <t>MIGNOLET</t>
  </si>
  <si>
    <t>SPILEERS +2</t>
  </si>
  <si>
    <t>REIS +3</t>
  </si>
  <si>
    <t>LEMARECHAL +3</t>
  </si>
  <si>
    <t>NILSSON +2</t>
  </si>
  <si>
    <t>DE CORTE +3</t>
  </si>
  <si>
    <t>OSUJI +3</t>
  </si>
  <si>
    <t>GRANADOS +1</t>
  </si>
  <si>
    <t>DENDER EH</t>
  </si>
  <si>
    <t>GALLON +1</t>
  </si>
  <si>
    <t>SAMBU +1</t>
  </si>
  <si>
    <t>MARIJNISSEN +2</t>
  </si>
  <si>
    <t>GONCALVES</t>
  </si>
  <si>
    <t>FERRARO +1</t>
  </si>
  <si>
    <t>VILTARD +1</t>
  </si>
  <si>
    <t>MBAMBA</t>
  </si>
  <si>
    <t>KVET +1</t>
  </si>
  <si>
    <t>HRNCAR</t>
  </si>
  <si>
    <t>JAHANBAKHSH</t>
  </si>
  <si>
    <t>NSIMBA</t>
  </si>
  <si>
    <t>VERRIPS</t>
  </si>
  <si>
    <t>DE FOUGEROLLES</t>
  </si>
  <si>
    <t>SEBTAOUI +2</t>
  </si>
  <si>
    <t>RODES</t>
  </si>
  <si>
    <t>ACQUAH</t>
  </si>
  <si>
    <t>BERTE +1</t>
  </si>
  <si>
    <t>TOSHEVSKI +1</t>
  </si>
  <si>
    <t>DIETSCH</t>
  </si>
  <si>
    <t>COOLS +1</t>
  </si>
  <si>
    <t>KOTON +2</t>
  </si>
  <si>
    <t>DAALI +1</t>
  </si>
  <si>
    <t xml:space="preserve">KADIRI </t>
  </si>
  <si>
    <t>FORTIN +1</t>
  </si>
  <si>
    <t>FREDRICK</t>
  </si>
  <si>
    <t>ADEWUSI</t>
  </si>
  <si>
    <t>DE KERF +3</t>
  </si>
  <si>
    <t>ORATMANGOEN</t>
  </si>
  <si>
    <t>GENK</t>
  </si>
  <si>
    <t>LAWAL +3</t>
  </si>
  <si>
    <t>EL OUAHDI +2</t>
  </si>
  <si>
    <t>SMETS +2</t>
  </si>
  <si>
    <t>PALACIOS +2</t>
  </si>
  <si>
    <t>KAYEMBE +1</t>
  </si>
  <si>
    <t>SATTLBERGER +3</t>
  </si>
  <si>
    <t>HEYNEN +3</t>
  </si>
  <si>
    <t>KARETSAS +3</t>
  </si>
  <si>
    <t>STEUCKERS +2</t>
  </si>
  <si>
    <t>SOR +2</t>
  </si>
  <si>
    <t>MIRISOLA +4</t>
  </si>
  <si>
    <t>VAN CROMBRUGGE +1</t>
  </si>
  <si>
    <t>NKUBA +2</t>
  </si>
  <si>
    <t>SADICK +2</t>
  </si>
  <si>
    <t>MEDINA +3</t>
  </si>
  <si>
    <t>BANGOURA +2</t>
  </si>
  <si>
    <t>DE WANNEMACKER +2</t>
  </si>
  <si>
    <t>HEYMANS +3</t>
  </si>
  <si>
    <t>ITO +2</t>
  </si>
  <si>
    <t>STERNBERG +3</t>
  </si>
  <si>
    <t>ERABI +3</t>
  </si>
  <si>
    <t>BRUGHMANS +2</t>
  </si>
  <si>
    <t>KONGOLO +2</t>
  </si>
  <si>
    <t>YOKOYAMA +3</t>
  </si>
  <si>
    <t>BIBOUT +3</t>
  </si>
  <si>
    <t>DOUCOURE +4</t>
  </si>
  <si>
    <t>STEVENS</t>
  </si>
  <si>
    <t>GENT</t>
  </si>
  <si>
    <t>ROEF +3</t>
  </si>
  <si>
    <t>SAMOISE +2</t>
  </si>
  <si>
    <t>VOLCKAERT</t>
  </si>
  <si>
    <t>VAN DER HEYDEN +2</t>
  </si>
  <si>
    <t>ARAUJO +2</t>
  </si>
  <si>
    <t>DELORGE +2</t>
  </si>
  <si>
    <t>KADRI +3</t>
  </si>
  <si>
    <t>KANGA +2</t>
  </si>
  <si>
    <t>PEERSMAN +2</t>
  </si>
  <si>
    <t>HASHIOKA</t>
  </si>
  <si>
    <t>PASKOTSI +3</t>
  </si>
  <si>
    <t>SKORAS +3</t>
  </si>
  <si>
    <t>EL ADFAOUI +2</t>
  </si>
  <si>
    <t>LOPES +2</t>
  </si>
  <si>
    <t>HONG</t>
  </si>
  <si>
    <t>GOORE +2</t>
  </si>
  <si>
    <t>VANDENBERGHE +1</t>
  </si>
  <si>
    <t>DE MEYER +2</t>
  </si>
  <si>
    <t>DUVERNE</t>
  </si>
  <si>
    <t>SONKO +2</t>
  </si>
  <si>
    <t>ASSELMAN +3</t>
  </si>
  <si>
    <t>DE VLIEGER +4</t>
  </si>
  <si>
    <t>DEAN +2</t>
  </si>
  <si>
    <t>EVERS +2</t>
  </si>
  <si>
    <t>ES-SAOUBI +3</t>
  </si>
  <si>
    <t>AYINDE +2</t>
  </si>
  <si>
    <t>OMGBA +3</t>
  </si>
  <si>
    <t>DIOP +3</t>
  </si>
  <si>
    <t>LA LOUVIERE</t>
  </si>
  <si>
    <t>PEANO +2</t>
  </si>
  <si>
    <t>LIONGOLA +1</t>
  </si>
  <si>
    <t>FAYE</t>
  </si>
  <si>
    <t>OKOU +2</t>
  </si>
  <si>
    <t>LUTONDA +1</t>
  </si>
  <si>
    <t>LAHSSAINI</t>
  </si>
  <si>
    <t>ASHIMERU</t>
  </si>
  <si>
    <t>AFRIYIE</t>
  </si>
  <si>
    <t>DE SCHREVEL +2</t>
  </si>
  <si>
    <t>BENAVIDES +2</t>
  </si>
  <si>
    <t>MAISONNEUVE</t>
  </si>
  <si>
    <t>LAMEGO +1</t>
  </si>
  <si>
    <t>GILLOT</t>
  </si>
  <si>
    <t>BEKA BEKA +1</t>
  </si>
  <si>
    <t>MAES +1</t>
  </si>
  <si>
    <t>SOUMARE +1</t>
  </si>
  <si>
    <t>FALL</t>
  </si>
  <si>
    <t>MONTEIRO +1</t>
  </si>
  <si>
    <t>RIOU +1</t>
  </si>
  <si>
    <t>GUEULETTE +1</t>
  </si>
  <si>
    <t>NTEMO +2</t>
  </si>
  <si>
    <t>NSINGI +1</t>
  </si>
  <si>
    <t>BELKHEIR +2</t>
  </si>
  <si>
    <t>MAKATE</t>
  </si>
  <si>
    <t>MECHELEN</t>
  </si>
  <si>
    <t>MIRAS +3</t>
  </si>
  <si>
    <t>KOUDOU +3</t>
  </si>
  <si>
    <t>HALHAL</t>
  </si>
  <si>
    <t>MARSA +1</t>
  </si>
  <si>
    <t>ZEKRI +2</t>
  </si>
  <si>
    <t>HAMMAR +2</t>
  </si>
  <si>
    <t>MRABTI</t>
  </si>
  <si>
    <t>VAN BREDERODE +4</t>
  </si>
  <si>
    <t>SERVAIS +3</t>
  </si>
  <si>
    <t>BOUERSMA+3</t>
  </si>
  <si>
    <t>DE WOLF +2</t>
  </si>
  <si>
    <t>ANTONIO +1</t>
  </si>
  <si>
    <t>ST. JAGO +2</t>
  </si>
  <si>
    <t>DIOUF +2</t>
  </si>
  <si>
    <t xml:space="preserve">BANDE </t>
  </si>
  <si>
    <t>SALIFOU +3</t>
  </si>
  <si>
    <t>BAFDILI +2</t>
  </si>
  <si>
    <t>RAMAN +1</t>
  </si>
  <si>
    <t>VAN INGELGOM +1</t>
  </si>
  <si>
    <t>GOLIC +3</t>
  </si>
  <si>
    <t>STRUYF +2</t>
  </si>
  <si>
    <t>DECOENE</t>
  </si>
  <si>
    <t>OUAHABI +3</t>
  </si>
  <si>
    <t>OZDEMIR +2</t>
  </si>
  <si>
    <t>VANRAFELGHEM +3</t>
  </si>
  <si>
    <t>WILLOCKX +1</t>
  </si>
  <si>
    <t>KIREEV +4</t>
  </si>
  <si>
    <t>LENAERTS</t>
  </si>
  <si>
    <t>OH LUEVEN</t>
  </si>
  <si>
    <t>LEYSEN +1</t>
  </si>
  <si>
    <t>GIL</t>
  </si>
  <si>
    <t>PLETINCKX +3</t>
  </si>
  <si>
    <t>DAMJANIC +2</t>
  </si>
  <si>
    <t>AKIMOTO +1</t>
  </si>
  <si>
    <t>LAKOMY</t>
  </si>
  <si>
    <t>SCHRIJVERS +1</t>
  </si>
  <si>
    <t>MAZIZ</t>
  </si>
  <si>
    <t>BALIKWISHA +3</t>
  </si>
  <si>
    <t>VERLINDEN +2</t>
  </si>
  <si>
    <t>IKWUEMESI +1</t>
  </si>
  <si>
    <t>PREVOT</t>
  </si>
  <si>
    <t>OPOKU +2</t>
  </si>
  <si>
    <t>DUSSENNE +2</t>
  </si>
  <si>
    <t>SOUANGA +1</t>
  </si>
  <si>
    <t>VERSTRAETE +1</t>
  </si>
  <si>
    <t>KAYO +2</t>
  </si>
  <si>
    <t>MAERTENS</t>
  </si>
  <si>
    <t>TEKLAB +1</t>
  </si>
  <si>
    <t>KABA</t>
  </si>
  <si>
    <t>RADELET</t>
  </si>
  <si>
    <t>VLIETINCK +2</t>
  </si>
  <si>
    <t>NYAKOSSI +1</t>
  </si>
  <si>
    <t>GEORGE +2</t>
  </si>
  <si>
    <t>TRAORE +2</t>
  </si>
  <si>
    <t>JOCHMANS</t>
  </si>
  <si>
    <t>OMINAMI +2</t>
  </si>
  <si>
    <t>VAESEN +3</t>
  </si>
  <si>
    <t>SINT-TRUIDEN</t>
  </si>
  <si>
    <t xml:space="preserve">KOKUBO </t>
  </si>
  <si>
    <t>VANWESEMAEL +1</t>
  </si>
  <si>
    <t>TANIGUCHI</t>
  </si>
  <si>
    <t>MUSLIU</t>
  </si>
  <si>
    <t>HATA</t>
  </si>
  <si>
    <t>SISSAKO</t>
  </si>
  <si>
    <t>YAMAMOTO</t>
  </si>
  <si>
    <t>ITO</t>
  </si>
  <si>
    <t>MUJA</t>
  </si>
  <si>
    <t>SEBAOUI +2</t>
  </si>
  <si>
    <t>GOTO</t>
  </si>
  <si>
    <t>COPPENS</t>
  </si>
  <si>
    <t>SOH</t>
  </si>
  <si>
    <t>PUPE</t>
  </si>
  <si>
    <t>JUKLEROD</t>
  </si>
  <si>
    <t>DIRIKEN +3</t>
  </si>
  <si>
    <t>MERLEN</t>
  </si>
  <si>
    <t>DELPUPPO +1</t>
  </si>
  <si>
    <t>MATSUZAWA</t>
  </si>
  <si>
    <t>DIOUF</t>
  </si>
  <si>
    <t>LENDFERS +1</t>
  </si>
  <si>
    <t>LAMBOTTE +3</t>
  </si>
  <si>
    <t>BENACHOUR +3</t>
  </si>
  <si>
    <t>SHINKAWA +3</t>
  </si>
  <si>
    <t xml:space="preserve">JANSSENS </t>
  </si>
  <si>
    <t>NHAILI +2</t>
  </si>
  <si>
    <t>STANDARD LIEGE</t>
  </si>
  <si>
    <t>EPOLO +3</t>
  </si>
  <si>
    <t>FOSSEY +1</t>
  </si>
  <si>
    <t>HAUTEKIET +1</t>
  </si>
  <si>
    <t>HOMAWOO +1</t>
  </si>
  <si>
    <t>MORTENSEN</t>
  </si>
  <si>
    <t>ILAIMAHARITRA +1</t>
  </si>
  <si>
    <t>NIELSEN +2</t>
  </si>
  <si>
    <t>AYENSA +3</t>
  </si>
  <si>
    <t>ABID +3</t>
  </si>
  <si>
    <t>SAID +3</t>
  </si>
  <si>
    <t>HENRY +1</t>
  </si>
  <si>
    <t>PIRARD +2</t>
  </si>
  <si>
    <t>LAWRENCE +2</t>
  </si>
  <si>
    <t>KARAMOKO +4</t>
  </si>
  <si>
    <t>MOHR +2</t>
  </si>
  <si>
    <t>MEHSSATOU +2</t>
  </si>
  <si>
    <t>EL HANKOURI +1</t>
  </si>
  <si>
    <t>NKADA +2</t>
  </si>
  <si>
    <t>DIZDAREVIC</t>
  </si>
  <si>
    <t>ASSENGUE +1</t>
  </si>
  <si>
    <t>DIERCKX +2</t>
  </si>
  <si>
    <t>CALUT</t>
  </si>
  <si>
    <t>TEUMA</t>
  </si>
  <si>
    <t>NGUENE +2</t>
  </si>
  <si>
    <t>GODFROID</t>
  </si>
  <si>
    <t>BATES +1</t>
  </si>
  <si>
    <t>BOLINGOLI</t>
  </si>
  <si>
    <t>KUAVITA</t>
  </si>
  <si>
    <t>MITONGO +2</t>
  </si>
  <si>
    <t>DOUMBIA</t>
  </si>
  <si>
    <t>KYEI +1</t>
  </si>
  <si>
    <t>UNION SG</t>
  </si>
  <si>
    <t>SCHERPEN +2</t>
  </si>
  <si>
    <t>KHALAILI +2</t>
  </si>
  <si>
    <t>MAC ALLISTER +2</t>
  </si>
  <si>
    <t>LEYSEN +3</t>
  </si>
  <si>
    <t>NIANG +2</t>
  </si>
  <si>
    <t>VAN DE PERRE +3</t>
  </si>
  <si>
    <t>ZORGANE +3</t>
  </si>
  <si>
    <t>AIT EL HADJ +2</t>
  </si>
  <si>
    <t>DAVID +3</t>
  </si>
  <si>
    <t>CHAMBAERE +1</t>
  </si>
  <si>
    <t>PATRIS +3</t>
  </si>
  <si>
    <t>BURGESS</t>
  </si>
  <si>
    <t>SMITH +3</t>
  </si>
  <si>
    <t>ZENELI +4</t>
  </si>
  <si>
    <t>SCHOOFS +2</t>
  </si>
  <si>
    <t>FLORUCZ +3</t>
  </si>
  <si>
    <t>KAVLASHVILI +2</t>
  </si>
  <si>
    <t>FRANCOIS</t>
  </si>
  <si>
    <t>SYKES +1</t>
  </si>
  <si>
    <t>PAVLIC +3</t>
  </si>
  <si>
    <t>RODRIGUEZ +1</t>
  </si>
  <si>
    <t>TEUNCKENS</t>
  </si>
  <si>
    <t>BARRY +3</t>
  </si>
  <si>
    <t>BIONDIC +4</t>
  </si>
  <si>
    <t>SYLLA +4</t>
  </si>
  <si>
    <t>GIGER +3</t>
  </si>
  <si>
    <t>FUSEINI +2</t>
  </si>
  <si>
    <t>WESTERLO</t>
  </si>
  <si>
    <t>JUNGDAL +2</t>
  </si>
  <si>
    <t>REYNOLDS +1</t>
  </si>
  <si>
    <t>BAYRAM +2</t>
  </si>
  <si>
    <t>NSIALA</t>
  </si>
  <si>
    <t>OUREGA</t>
  </si>
  <si>
    <t>PIEDFORT +1</t>
  </si>
  <si>
    <t>HASPOLAT +1</t>
  </si>
  <si>
    <t>SAKAMOTO +2</t>
  </si>
  <si>
    <t>SAYYADMANESH</t>
  </si>
  <si>
    <t>ALCOCER +2</t>
  </si>
  <si>
    <t>FERRI +3</t>
  </si>
  <si>
    <t>VAN LANGENDONCK</t>
  </si>
  <si>
    <t>MBAMBA +3</t>
  </si>
  <si>
    <t>KIMURA +3</t>
  </si>
  <si>
    <t>SYDORCHUK</t>
  </si>
  <si>
    <t>VAN DEN KEYBUS</t>
  </si>
  <si>
    <t>SAITO +3</t>
  </si>
  <si>
    <t>KAMONI +3</t>
  </si>
  <si>
    <t>PATRAO</t>
  </si>
  <si>
    <t>ANNELL +2</t>
  </si>
  <si>
    <t>LAPAGE +3</t>
  </si>
  <si>
    <t>SMEKENS</t>
  </si>
  <si>
    <t>GOURE</t>
  </si>
  <si>
    <t>NEUSTADTER</t>
  </si>
  <si>
    <t>LAALAOUI +3</t>
  </si>
  <si>
    <t>BUJUPI</t>
  </si>
  <si>
    <t>HAIDARA</t>
  </si>
  <si>
    <t>DESTAN</t>
  </si>
  <si>
    <t>NDEMBI +3</t>
  </si>
  <si>
    <t>ZULTE WAREGEM</t>
  </si>
  <si>
    <t>GABRIEL +2</t>
  </si>
  <si>
    <t>NYSSEN +1</t>
  </si>
  <si>
    <t>TANGHE +1</t>
  </si>
  <si>
    <t>KIILERICH +1</t>
  </si>
  <si>
    <t>CAPPELLE +2</t>
  </si>
  <si>
    <t>ASARE +3</t>
  </si>
  <si>
    <t>CLAES +2</t>
  </si>
  <si>
    <t>ERENBJERG +3</t>
  </si>
  <si>
    <t>GAVRIEL</t>
  </si>
  <si>
    <t>OPOKU +1</t>
  </si>
  <si>
    <t>EMENTA+2</t>
  </si>
  <si>
    <t>BOSTYN</t>
  </si>
  <si>
    <t>PAUGAIN +2</t>
  </si>
  <si>
    <t>LEMOINE +1</t>
  </si>
  <si>
    <t>WILLEN</t>
  </si>
  <si>
    <t>SOGLO</t>
  </si>
  <si>
    <t>LOFOLOMO +1</t>
  </si>
  <si>
    <t>PANDURO</t>
  </si>
  <si>
    <t>UJKA +1</t>
  </si>
  <si>
    <t>MITULJIKIC +2</t>
  </si>
  <si>
    <t>AKE</t>
  </si>
  <si>
    <t>VOSSEN</t>
  </si>
  <si>
    <t>DOBBELS</t>
  </si>
  <si>
    <t>SALL +2</t>
  </si>
  <si>
    <t>SEVEN +2</t>
  </si>
  <si>
    <t>SERGEANT</t>
  </si>
  <si>
    <t>MBAYE</t>
  </si>
  <si>
    <t>HEDL +1</t>
  </si>
  <si>
    <t>DIABATE</t>
  </si>
  <si>
    <t>VAN KEYMOLEN +1</t>
  </si>
  <si>
    <t>LEGEND</t>
  </si>
  <si>
    <t>GREEN</t>
  </si>
  <si>
    <t>Club request</t>
  </si>
  <si>
    <t>YELLOW</t>
  </si>
  <si>
    <t>Club request based on outs/budgets</t>
  </si>
  <si>
    <t>GREY</t>
  </si>
  <si>
    <t>Contract epxiring</t>
  </si>
  <si>
    <t>BLUE</t>
  </si>
  <si>
    <t>Player in on loan</t>
  </si>
  <si>
    <t>ORANGE</t>
  </si>
  <si>
    <t>Player might leave</t>
  </si>
  <si>
    <t>RED</t>
  </si>
  <si>
    <t>Player likely to leave</t>
  </si>
  <si>
    <t>Date Last Updated</t>
  </si>
  <si>
    <t xml:space="preserve"> League</t>
  </si>
  <si>
    <t>Position Category</t>
  </si>
  <si>
    <t>Preferred Side</t>
  </si>
  <si>
    <t>Role Notes</t>
  </si>
  <si>
    <t>Maximum Transfer Fee
€</t>
  </si>
  <si>
    <t>Maximum Salary PW
€</t>
  </si>
  <si>
    <t>Source</t>
  </si>
  <si>
    <t>Validated</t>
  </si>
  <si>
    <t>Validated By</t>
  </si>
  <si>
    <t>Linked/Shortlisted Players</t>
  </si>
  <si>
    <t>Centre Back</t>
  </si>
  <si>
    <t>Left</t>
  </si>
  <si>
    <t>Intel</t>
  </si>
  <si>
    <t>NO</t>
  </si>
  <si>
    <t>Full Back</t>
  </si>
  <si>
    <t>Centre Midfield</t>
  </si>
  <si>
    <t>Either</t>
  </si>
  <si>
    <t>Winger</t>
  </si>
  <si>
    <t>Njie</t>
  </si>
  <si>
    <t>Centre Forward</t>
  </si>
  <si>
    <t>Goalkeeper</t>
  </si>
  <si>
    <t>Agent</t>
  </si>
  <si>
    <t>YES</t>
  </si>
  <si>
    <t>Jouko Gorissen</t>
  </si>
  <si>
    <t>De Busser / Ryan / Grabara / Livakovic / Drommel</t>
  </si>
  <si>
    <t>Young</t>
  </si>
  <si>
    <t>Fernandez / Sane</t>
  </si>
  <si>
    <t>Experienced</t>
  </si>
  <si>
    <t>Right</t>
  </si>
  <si>
    <t>Meunier</t>
  </si>
  <si>
    <t>Defensive Midfield</t>
  </si>
  <si>
    <t xml:space="preserve">To replace Stankovic / Onyedika </t>
  </si>
  <si>
    <t>Bangoura / Mokoena</t>
  </si>
  <si>
    <t>Max 23, immediate impact, pace</t>
  </si>
  <si>
    <t>Raman</t>
  </si>
  <si>
    <t>Replace El Ouahdi</t>
  </si>
  <si>
    <t>To replace Bangoura</t>
  </si>
  <si>
    <t>Jorgensen</t>
  </si>
  <si>
    <t>Attacking Midfield</t>
  </si>
  <si>
    <t>To replace Karetsas</t>
  </si>
  <si>
    <t>To replace Alcocer</t>
  </si>
  <si>
    <t>Wing Back</t>
  </si>
  <si>
    <t>Target man</t>
  </si>
  <si>
    <t>Running striker</t>
  </si>
  <si>
    <t>Erenbjerg</t>
  </si>
  <si>
    <t>Aggressive</t>
  </si>
  <si>
    <t>Benkara / Abdelmaguid</t>
  </si>
  <si>
    <t>Kouyate</t>
  </si>
  <si>
    <t>Dibango</t>
  </si>
  <si>
    <t>Nsimba</t>
  </si>
  <si>
    <t>James Clark</t>
  </si>
  <si>
    <t>Reus</t>
  </si>
  <si>
    <t>Audoor</t>
  </si>
  <si>
    <t>CB</t>
  </si>
  <si>
    <t>DM (No. 6)</t>
  </si>
  <si>
    <t>CM (No. 8)</t>
  </si>
  <si>
    <t>AM (No. 10)</t>
  </si>
  <si>
    <t>Antwerp</t>
  </si>
  <si>
    <t>Anderlecht</t>
  </si>
  <si>
    <t>STVV</t>
  </si>
  <si>
    <t>Charleroi</t>
  </si>
  <si>
    <t>Club Brugge</t>
  </si>
  <si>
    <t>Union SG</t>
  </si>
  <si>
    <t>Genk</t>
  </si>
  <si>
    <t>Dender</t>
  </si>
  <si>
    <t>Leuven</t>
  </si>
  <si>
    <t>Mechelen</t>
  </si>
  <si>
    <t>Gent</t>
  </si>
  <si>
    <t>La Louviere</t>
  </si>
  <si>
    <t>Westerlo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</si>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</sst>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-809]#,##0"/>
  </numFmts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color rgb="FFFFFFFF"/>
      <name val="Arial"/>
      <family val="2"/>
    </font>
    <font>
      <sz val="10"/>
      <color rgb="FF434343"/>
      <name val="Roboto"/>
    </font>
    <font>
      <sz val="10"/>
      <color theme="1"/>
      <name val="Arial"/>
      <family val="2"/>
      <scheme val="minor"/>
    </font>
    <font>
      <sz val="10"/>
      <color rgb="FF434343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  <scheme val="minor"/>
    </font>
    <font>
      <b/>
      <sz val="10"/>
      <color rgb="FFFFFFFF"/>
      <name val="Roboto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19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1" fillId="3" borderId="0" xfId="0" applyFont="1" applyFill="1"/>
    <xf numFmtId="0" fontId="4" fillId="3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3" fontId="6" fillId="3" borderId="5" xfId="0" applyNumberFormat="1" applyFont="1" applyFill="1" applyBorder="1" applyAlignment="1">
      <alignment horizontal="right" vertical="center"/>
    </xf>
    <xf numFmtId="3" fontId="6" fillId="3" borderId="3" xfId="0" applyNumberFormat="1" applyFont="1" applyFill="1" applyBorder="1" applyAlignment="1">
      <alignment horizontal="right" vertical="center"/>
    </xf>
    <xf numFmtId="3" fontId="6" fillId="3" borderId="6" xfId="0" applyNumberFormat="1" applyFont="1" applyFill="1" applyBorder="1" applyAlignment="1">
      <alignment horizontal="right" vertical="center"/>
    </xf>
    <xf numFmtId="0" fontId="1" fillId="4" borderId="0" xfId="0" applyFont="1" applyFill="1"/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0" fontId="4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/>
    <xf numFmtId="0" fontId="7" fillId="0" borderId="11" xfId="0" applyFont="1" applyBorder="1"/>
    <xf numFmtId="0" fontId="7" fillId="5" borderId="12" xfId="0" applyFont="1" applyFill="1" applyBorder="1"/>
    <xf numFmtId="0" fontId="1" fillId="0" borderId="12" xfId="0" applyFont="1" applyBorder="1"/>
    <xf numFmtId="0" fontId="7" fillId="6" borderId="12" xfId="0" applyFont="1" applyFill="1" applyBorder="1"/>
    <xf numFmtId="0" fontId="1" fillId="0" borderId="13" xfId="0" applyFont="1" applyBorder="1"/>
    <xf numFmtId="0" fontId="7" fillId="0" borderId="14" xfId="0" applyFont="1" applyBorder="1"/>
    <xf numFmtId="0" fontId="8" fillId="7" borderId="0" xfId="0" applyFont="1" applyFill="1"/>
    <xf numFmtId="0" fontId="8" fillId="0" borderId="0" xfId="0" applyFont="1"/>
    <xf numFmtId="0" fontId="8" fillId="8" borderId="0" xfId="0" applyFont="1" applyFill="1"/>
    <xf numFmtId="0" fontId="8" fillId="9" borderId="0" xfId="0" applyFont="1" applyFill="1"/>
    <xf numFmtId="0" fontId="8" fillId="10" borderId="0" xfId="0" applyFont="1" applyFill="1"/>
    <xf numFmtId="0" fontId="8" fillId="0" borderId="15" xfId="0" applyFont="1" applyBorder="1"/>
    <xf numFmtId="0" fontId="1" fillId="0" borderId="14" xfId="0" applyFont="1" applyBorder="1" applyAlignment="1">
      <alignment horizontal="right"/>
    </xf>
    <xf numFmtId="0" fontId="9" fillId="8" borderId="0" xfId="0" applyFont="1" applyFill="1"/>
    <xf numFmtId="0" fontId="9" fillId="0" borderId="0" xfId="0" applyFont="1"/>
    <xf numFmtId="0" fontId="1" fillId="0" borderId="14" xfId="0" applyFont="1" applyBorder="1"/>
    <xf numFmtId="0" fontId="9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8" fillId="0" borderId="17" xfId="0" applyFont="1" applyBorder="1"/>
    <xf numFmtId="0" fontId="7" fillId="5" borderId="13" xfId="0" applyFont="1" applyFill="1" applyBorder="1"/>
    <xf numFmtId="0" fontId="9" fillId="7" borderId="0" xfId="0" applyFont="1" applyFill="1"/>
    <xf numFmtId="0" fontId="8" fillId="10" borderId="15" xfId="0" applyFont="1" applyFill="1" applyBorder="1"/>
    <xf numFmtId="0" fontId="8" fillId="7" borderId="15" xfId="0" applyFont="1" applyFill="1" applyBorder="1"/>
    <xf numFmtId="0" fontId="8" fillId="8" borderId="18" xfId="0" applyFont="1" applyFill="1" applyBorder="1"/>
    <xf numFmtId="0" fontId="1" fillId="0" borderId="15" xfId="0" applyFont="1" applyBorder="1"/>
    <xf numFmtId="0" fontId="1" fillId="0" borderId="18" xfId="0" applyFont="1" applyBorder="1"/>
    <xf numFmtId="0" fontId="8" fillId="9" borderId="15" xfId="0" applyFont="1" applyFill="1" applyBorder="1"/>
    <xf numFmtId="0" fontId="7" fillId="6" borderId="13" xfId="0" applyFont="1" applyFill="1" applyBorder="1"/>
    <xf numFmtId="0" fontId="8" fillId="8" borderId="15" xfId="0" applyFont="1" applyFill="1" applyBorder="1"/>
    <xf numFmtId="0" fontId="8" fillId="0" borderId="18" xfId="0" applyFont="1" applyBorder="1"/>
    <xf numFmtId="0" fontId="1" fillId="6" borderId="0" xfId="0" applyFont="1" applyFill="1"/>
    <xf numFmtId="0" fontId="1" fillId="5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7" borderId="0" xfId="0" applyFont="1" applyFill="1"/>
    <xf numFmtId="0" fontId="1" fillId="9" borderId="0" xfId="0" applyFont="1" applyFill="1"/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1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3" fontId="4" fillId="3" borderId="3" xfId="0" applyNumberFormat="1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3" fontId="4" fillId="3" borderId="3" xfId="0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5" fillId="0" borderId="0" xfId="0" applyFont="1"/>
    <xf numFmtId="20" fontId="13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lub Overview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 xr9:uid="{00000000-0011-0000-FFFF-FFFF02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K18">
  <tableColumns count="11">
    <tableColumn id="1" xr3:uid="{00000000-0010-0000-0000-000001000000}" name="Club Name"/>
    <tableColumn id="2" xr3:uid="{00000000-0010-0000-0000-000002000000}" name="League"/>
    <tableColumn id="3" xr3:uid="{00000000-0010-0000-0000-000003000000}" name="Formation"/>
    <tableColumn id="4" xr3:uid="{00000000-0010-0000-0000-000004000000}" name="Manager"/>
    <tableColumn id="5" xr3:uid="{00000000-0010-0000-0000-000005000000}" name="Agent Preferences"/>
    <tableColumn id="6" xr3:uid="{00000000-0010-0000-0000-000006000000}" name="Sci Skill Rotation Player Level"/>
    <tableColumn id="7" xr3:uid="{00000000-0010-0000-0000-000007000000}" name="Sci Skill 1st Team Level"/>
    <tableColumn id="8" xr3:uid="{00000000-0010-0000-0000-000008000000}" name="Sci Skill Key Player Level"/>
    <tableColumn id="9" xr3:uid="{00000000-0010-0000-0000-000009000000}" name="Highest Transfer Fee 25/26_x000a_€"/>
    <tableColumn id="10" xr3:uid="{00000000-0010-0000-0000-00000A000000}" name="Highest Sale 25/26_x000a_€"/>
    <tableColumn id="11" xr3:uid="{00000000-0010-0000-0000-00000B000000}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_Gaps" displayName="Market_Gaps" ref="A1:T17">
  <autoFilter ref="A1:T17" xr:uid="{00000000-0009-0000-0100-000002000000}"/>
  <tableColumns count="20">
    <tableColumn id="1" xr3:uid="{00000000-0010-0000-0100-000001000000}" name="Club"/>
    <tableColumn id="2" xr3:uid="{00000000-0010-0000-0100-000002000000}" name="League"/>
    <tableColumn id="3" xr3:uid="{00000000-0010-0000-0100-000003000000}" name="GK"/>
    <tableColumn id="4" xr3:uid="{00000000-0010-0000-0100-000004000000}" name="RB"/>
    <tableColumn id="5" xr3:uid="{00000000-0010-0000-0100-000005000000}" name="RCB"/>
    <tableColumn id="6" xr3:uid="{00000000-0010-0000-0100-000006000000}" name="LCB"/>
    <tableColumn id="7" xr3:uid="{00000000-0010-0000-0100-000007000000}" name="LB"/>
    <tableColumn id="8" xr3:uid="{00000000-0010-0000-0100-000008000000}" name="DM"/>
    <tableColumn id="9" xr3:uid="{00000000-0010-0000-0100-000009000000}" name="CM"/>
    <tableColumn id="10" xr3:uid="{00000000-0010-0000-0100-00000A000000}" name="AM"/>
    <tableColumn id="11" xr3:uid="{00000000-0010-0000-0100-00000B000000}" name="RW"/>
    <tableColumn id="12" xr3:uid="{00000000-0010-0000-0100-00000C000000}" name="LW"/>
    <tableColumn id="13" xr3:uid="{00000000-0010-0000-0100-00000D000000}" name="CF"/>
    <tableColumn id="14" xr3:uid="{00000000-0010-0000-0100-00000E000000}" name="Total Positional Gaps"/>
    <tableColumn id="15" xr3:uid="{00000000-0010-0000-0100-00000F000000}" name="Transfer Active?"/>
    <tableColumn id="16" xr3:uid="{00000000-0010-0000-0100-000010000000}" name="Transfer Focus"/>
    <tableColumn id="17" xr3:uid="{00000000-0010-0000-0100-000011000000}" name="From Intel?"/>
    <tableColumn id="18" xr3:uid="{00000000-0010-0000-0100-000012000000}" name="From Validation?"/>
    <tableColumn id="19" xr3:uid="{00000000-0010-0000-0100-000013000000}" name="Priority to Recheck?"/>
    <tableColumn id="20" xr3:uid="{00000000-0010-0000-0100-000014000000}" name="Note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L85">
  <autoFilter ref="A1:L85" xr:uid="{00000000-0009-0000-0100-000003000000}"/>
  <tableColumns count="12">
    <tableColumn id="1" xr3:uid="{00000000-0010-0000-0200-000001000000}" name="Date Last Updated"/>
    <tableColumn id="2" xr3:uid="{00000000-0010-0000-0200-000002000000}" name="Club"/>
    <tableColumn id="3" xr3:uid="{00000000-0010-0000-0200-000003000000}" name=" League"/>
    <tableColumn id="4" xr3:uid="{00000000-0010-0000-0200-000004000000}" name="Position Category"/>
    <tableColumn id="5" xr3:uid="{00000000-0010-0000-0200-000005000000}" name="Preferred Side"/>
    <tableColumn id="6" xr3:uid="{00000000-0010-0000-0200-000006000000}" name="Role Notes"/>
    <tableColumn id="7" xr3:uid="{00000000-0010-0000-0200-000007000000}" name="Maximum Transfer Fee_x000a_€"/>
    <tableColumn id="8" xr3:uid="{00000000-0010-0000-0200-000008000000}" name="Maximum Salary PW_x000a_€"/>
    <tableColumn id="9" xr3:uid="{00000000-0010-0000-0200-000009000000}" name="Source"/>
    <tableColumn id="10" xr3:uid="{00000000-0010-0000-0200-00000A000000}" name="Validated"/>
    <tableColumn id="11" xr3:uid="{00000000-0010-0000-0200-00000B000000}" name="Validated By"/>
    <tableColumn id="12" xr3:uid="{00000000-0010-0000-0200-00000C000000}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5"/>
  <sheetViews>
    <sheetView tabSelected="1" workbookViewId="0"/>
  </sheetViews>
  <sheetFormatPr baseColWidth="10" defaultColWidth="12.6640625" defaultRowHeight="15.75" customHeight="1" x14ac:dyDescent="0.15"/>
  <cols>
    <col min="1" max="1" width="18.1640625" customWidth="1"/>
    <col min="3" max="3" width="14" customWidth="1"/>
    <col min="4" max="4" width="16.6640625" customWidth="1"/>
    <col min="5" max="5" width="48.33203125" customWidth="1"/>
  </cols>
  <sheetData>
    <row r="1" spans="1:26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15">
      <c r="A3" s="5" t="s">
        <v>11</v>
      </c>
      <c r="B3" s="6" t="s">
        <v>12</v>
      </c>
      <c r="C3" s="7">
        <v>442</v>
      </c>
      <c r="D3" s="7" t="s">
        <v>13</v>
      </c>
      <c r="E3" s="8" t="s">
        <v>14</v>
      </c>
      <c r="F3" s="9">
        <v>41</v>
      </c>
      <c r="G3" s="10">
        <v>58</v>
      </c>
      <c r="H3" s="11">
        <v>66</v>
      </c>
      <c r="I3" s="12">
        <v>2500000</v>
      </c>
      <c r="J3" s="13">
        <v>7000000</v>
      </c>
      <c r="K3" s="1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15">
      <c r="A4" s="15" t="s">
        <v>15</v>
      </c>
      <c r="B4" s="6" t="s">
        <v>12</v>
      </c>
      <c r="C4" s="7">
        <v>4231</v>
      </c>
      <c r="D4" s="7" t="s">
        <v>16</v>
      </c>
      <c r="E4" s="16" t="s">
        <v>17</v>
      </c>
      <c r="F4" s="17">
        <v>62</v>
      </c>
      <c r="G4" s="18">
        <v>70</v>
      </c>
      <c r="H4" s="19">
        <v>79</v>
      </c>
      <c r="I4" s="20">
        <v>9500000</v>
      </c>
      <c r="J4" s="20">
        <v>36000000</v>
      </c>
      <c r="K4" s="1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15">
      <c r="A5" s="15" t="s">
        <v>18</v>
      </c>
      <c r="B5" s="6" t="s">
        <v>12</v>
      </c>
      <c r="C5" s="7">
        <v>4231</v>
      </c>
      <c r="D5" s="7" t="s">
        <v>19</v>
      </c>
      <c r="E5" s="6" t="s">
        <v>14</v>
      </c>
      <c r="F5" s="21">
        <v>45</v>
      </c>
      <c r="G5" s="22">
        <v>55</v>
      </c>
      <c r="H5" s="19">
        <v>59</v>
      </c>
      <c r="I5" s="20">
        <v>800000</v>
      </c>
      <c r="J5" s="20">
        <v>1500000</v>
      </c>
      <c r="K5" s="1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15">
      <c r="A6" s="15" t="s">
        <v>20</v>
      </c>
      <c r="B6" s="6" t="s">
        <v>12</v>
      </c>
      <c r="C6" s="7">
        <v>3421</v>
      </c>
      <c r="D6" s="7" t="s">
        <v>21</v>
      </c>
      <c r="E6" s="16" t="s">
        <v>14</v>
      </c>
      <c r="F6" s="17">
        <v>55</v>
      </c>
      <c r="G6" s="18">
        <v>64</v>
      </c>
      <c r="H6" s="19">
        <v>69</v>
      </c>
      <c r="I6" s="20">
        <v>2000000</v>
      </c>
      <c r="J6" s="20">
        <v>8000000</v>
      </c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15">
      <c r="A7" s="15" t="s">
        <v>22</v>
      </c>
      <c r="B7" s="6" t="s">
        <v>12</v>
      </c>
      <c r="C7" s="7">
        <v>4231</v>
      </c>
      <c r="D7" s="7" t="s">
        <v>23</v>
      </c>
      <c r="E7" s="8" t="s">
        <v>24</v>
      </c>
      <c r="F7" s="9">
        <v>50</v>
      </c>
      <c r="G7" s="10">
        <v>64</v>
      </c>
      <c r="H7" s="11">
        <v>69</v>
      </c>
      <c r="I7" s="23">
        <v>4000000</v>
      </c>
      <c r="J7" s="23">
        <v>26000000</v>
      </c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15">
      <c r="A8" s="15" t="s">
        <v>25</v>
      </c>
      <c r="B8" s="6" t="s">
        <v>12</v>
      </c>
      <c r="C8" s="7">
        <v>3412</v>
      </c>
      <c r="D8" s="7" t="s">
        <v>26</v>
      </c>
      <c r="E8" s="16" t="s">
        <v>14</v>
      </c>
      <c r="F8" s="17">
        <v>46</v>
      </c>
      <c r="G8" s="18">
        <v>57</v>
      </c>
      <c r="H8" s="19">
        <v>66</v>
      </c>
      <c r="I8" s="20">
        <v>1200000</v>
      </c>
      <c r="J8" s="20">
        <v>3000000</v>
      </c>
      <c r="K8" s="1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15">
      <c r="A9" s="15" t="s">
        <v>27</v>
      </c>
      <c r="B9" s="6" t="s">
        <v>12</v>
      </c>
      <c r="C9" s="7">
        <v>4231</v>
      </c>
      <c r="D9" s="7" t="s">
        <v>28</v>
      </c>
      <c r="E9" s="6" t="s">
        <v>29</v>
      </c>
      <c r="F9" s="21">
        <v>48</v>
      </c>
      <c r="G9" s="22">
        <v>64</v>
      </c>
      <c r="H9" s="19">
        <v>67</v>
      </c>
      <c r="I9" s="20">
        <v>1500000</v>
      </c>
      <c r="J9" s="20">
        <v>9000000</v>
      </c>
      <c r="K9" s="1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15">
      <c r="A10" s="15" t="s">
        <v>30</v>
      </c>
      <c r="B10" s="6" t="s">
        <v>12</v>
      </c>
      <c r="C10" s="7">
        <v>3421</v>
      </c>
      <c r="D10" s="7" t="s">
        <v>31</v>
      </c>
      <c r="E10" s="16" t="s">
        <v>17</v>
      </c>
      <c r="F10" s="17">
        <v>48</v>
      </c>
      <c r="G10" s="18">
        <v>56</v>
      </c>
      <c r="H10" s="19">
        <v>64</v>
      </c>
      <c r="I10" s="20">
        <v>600000</v>
      </c>
      <c r="J10" s="20">
        <v>16000000</v>
      </c>
      <c r="K10" s="1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15">
      <c r="A11" s="5" t="s">
        <v>32</v>
      </c>
      <c r="B11" s="6" t="s">
        <v>12</v>
      </c>
      <c r="C11" s="7">
        <v>3412</v>
      </c>
      <c r="D11" s="7" t="s">
        <v>33</v>
      </c>
      <c r="E11" s="8" t="s">
        <v>14</v>
      </c>
      <c r="F11" s="9">
        <v>47</v>
      </c>
      <c r="G11" s="10">
        <v>51</v>
      </c>
      <c r="H11" s="11">
        <v>59</v>
      </c>
      <c r="I11" s="23">
        <v>300000</v>
      </c>
      <c r="J11" s="11">
        <v>0</v>
      </c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15">
      <c r="A12" s="5" t="s">
        <v>34</v>
      </c>
      <c r="B12" s="6" t="s">
        <v>12</v>
      </c>
      <c r="C12" s="7">
        <v>3412</v>
      </c>
      <c r="D12" s="7" t="s">
        <v>35</v>
      </c>
      <c r="E12" s="24" t="s">
        <v>36</v>
      </c>
      <c r="F12" s="25">
        <v>52</v>
      </c>
      <c r="G12" s="26">
        <v>62</v>
      </c>
      <c r="H12" s="11">
        <v>66</v>
      </c>
      <c r="I12" s="23">
        <v>1500000</v>
      </c>
      <c r="J12" s="23">
        <v>21000000</v>
      </c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15">
      <c r="A13" s="15" t="s">
        <v>37</v>
      </c>
      <c r="B13" s="6" t="s">
        <v>12</v>
      </c>
      <c r="C13" s="7">
        <v>4231</v>
      </c>
      <c r="D13" s="7" t="s">
        <v>38</v>
      </c>
      <c r="E13" s="6" t="s">
        <v>14</v>
      </c>
      <c r="F13" s="21">
        <v>42</v>
      </c>
      <c r="G13" s="22">
        <v>61</v>
      </c>
      <c r="H13" s="19">
        <v>70</v>
      </c>
      <c r="I13" s="20">
        <v>1500000</v>
      </c>
      <c r="J13" s="20">
        <v>5000000</v>
      </c>
      <c r="K13" s="1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15">
      <c r="A14" s="5" t="s">
        <v>39</v>
      </c>
      <c r="B14" s="6" t="s">
        <v>12</v>
      </c>
      <c r="C14" s="7">
        <v>4231</v>
      </c>
      <c r="D14" s="7" t="s">
        <v>40</v>
      </c>
      <c r="E14" s="16" t="s">
        <v>36</v>
      </c>
      <c r="F14" s="17">
        <v>57</v>
      </c>
      <c r="G14" s="18">
        <v>64</v>
      </c>
      <c r="H14" s="19">
        <v>70</v>
      </c>
      <c r="I14" s="20">
        <v>5000000</v>
      </c>
      <c r="J14" s="20">
        <v>17340000</v>
      </c>
      <c r="K14" s="1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15">
      <c r="A15" s="5" t="s">
        <v>41</v>
      </c>
      <c r="B15" s="6" t="s">
        <v>12</v>
      </c>
      <c r="C15" s="7">
        <v>4231</v>
      </c>
      <c r="D15" s="7" t="s">
        <v>42</v>
      </c>
      <c r="E15" s="8" t="s">
        <v>43</v>
      </c>
      <c r="F15" s="9">
        <v>39</v>
      </c>
      <c r="G15" s="10">
        <v>59</v>
      </c>
      <c r="H15" s="11">
        <v>64</v>
      </c>
      <c r="I15" s="23">
        <v>2500000</v>
      </c>
      <c r="J15" s="23">
        <v>5000000</v>
      </c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15">
      <c r="A16" s="5" t="s">
        <v>44</v>
      </c>
      <c r="B16" s="6" t="s">
        <v>12</v>
      </c>
      <c r="C16" s="7">
        <v>4231</v>
      </c>
      <c r="D16" s="7" t="s">
        <v>45</v>
      </c>
      <c r="E16" s="24" t="s">
        <v>14</v>
      </c>
      <c r="F16" s="25">
        <v>52</v>
      </c>
      <c r="G16" s="26">
        <v>56</v>
      </c>
      <c r="H16" s="11">
        <v>62</v>
      </c>
      <c r="I16" s="23">
        <v>2500000</v>
      </c>
      <c r="J16" s="23">
        <v>4500000</v>
      </c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15">
      <c r="A17" s="5" t="s">
        <v>46</v>
      </c>
      <c r="B17" s="27" t="s">
        <v>12</v>
      </c>
      <c r="C17" s="7">
        <v>3412</v>
      </c>
      <c r="D17" s="7" t="s">
        <v>47</v>
      </c>
      <c r="E17" s="28" t="s">
        <v>14</v>
      </c>
      <c r="F17" s="29">
        <v>40</v>
      </c>
      <c r="G17" s="30">
        <v>68</v>
      </c>
      <c r="H17" s="11">
        <v>77</v>
      </c>
      <c r="I17" s="23">
        <v>5000000</v>
      </c>
      <c r="J17" s="23">
        <v>22800000</v>
      </c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15">
      <c r="A18" s="5" t="s">
        <v>48</v>
      </c>
      <c r="B18" s="31" t="s">
        <v>12</v>
      </c>
      <c r="C18" s="7">
        <v>4231</v>
      </c>
      <c r="D18" s="7" t="s">
        <v>49</v>
      </c>
      <c r="E18" s="32" t="s">
        <v>17</v>
      </c>
      <c r="F18" s="11">
        <v>47</v>
      </c>
      <c r="G18" s="11">
        <v>55</v>
      </c>
      <c r="H18" s="11">
        <v>59</v>
      </c>
      <c r="I18" s="23">
        <v>1000000</v>
      </c>
      <c r="J18" s="23">
        <v>7500000</v>
      </c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</sheetData>
  <dataValidations count="1">
    <dataValidation type="list" allowBlank="1" sqref="E3:E18" xr:uid="{00000000-0002-0000-0000-000000000000}">
      <formula1>"Wasserman,AC Talent,Sports Invest UK,Unique Sports Group,N/A,CAA Base,CAA Stellar,Epic Sports,AS1,Bertolucci Sports,Roc Nation,SEG,ROOF,Gestifute,LIAN Sports Group,Sport Cover,World in Motion,V4S,PUM,Forza Sports Group,HCM Sports Management,Prime11,PURE,T"&amp;"eam Raiola,Stirr Associates,DWMA,FutureBall,Libera Sports,UDN Sports"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1640625" customWidth="1"/>
    <col min="2" max="2" width="11" customWidth="1"/>
    <col min="3" max="13" width="12.6640625" customWidth="1"/>
    <col min="14" max="14" width="13.6640625" customWidth="1"/>
    <col min="18" max="18" width="13.1640625" customWidth="1"/>
  </cols>
  <sheetData>
    <row r="1" spans="1:25" ht="22.5" customHeight="1" x14ac:dyDescent="0.15">
      <c r="A1" s="33" t="s">
        <v>50</v>
      </c>
      <c r="B1" s="33" t="s">
        <v>1</v>
      </c>
      <c r="C1" s="33" t="s">
        <v>51</v>
      </c>
      <c r="D1" s="34" t="s">
        <v>52</v>
      </c>
      <c r="E1" s="34" t="s">
        <v>53</v>
      </c>
      <c r="F1" s="34" t="s">
        <v>54</v>
      </c>
      <c r="G1" s="34" t="s">
        <v>55</v>
      </c>
      <c r="H1" s="34" t="s">
        <v>56</v>
      </c>
      <c r="I1" s="34" t="s">
        <v>57</v>
      </c>
      <c r="J1" s="34" t="s">
        <v>58</v>
      </c>
      <c r="K1" s="34" t="s">
        <v>59</v>
      </c>
      <c r="L1" s="34" t="s">
        <v>60</v>
      </c>
      <c r="M1" s="34" t="s">
        <v>61</v>
      </c>
      <c r="N1" s="34" t="s">
        <v>62</v>
      </c>
      <c r="O1" s="34" t="s">
        <v>63</v>
      </c>
      <c r="P1" s="34" t="s">
        <v>64</v>
      </c>
      <c r="Q1" s="34" t="s">
        <v>65</v>
      </c>
      <c r="R1" s="34" t="s">
        <v>66</v>
      </c>
      <c r="S1" s="34" t="s">
        <v>67</v>
      </c>
      <c r="T1" s="34" t="s">
        <v>68</v>
      </c>
      <c r="U1" s="33"/>
      <c r="V1" s="33"/>
      <c r="W1" s="33"/>
      <c r="X1" s="33"/>
      <c r="Y1" s="33"/>
    </row>
    <row r="2" spans="1:25" ht="22.5" customHeight="1" x14ac:dyDescent="0.15">
      <c r="A2" s="5" t="s">
        <v>11</v>
      </c>
      <c r="B2" s="7" t="s">
        <v>12</v>
      </c>
      <c r="C2" s="7" t="s">
        <v>69</v>
      </c>
      <c r="D2" s="7" t="s">
        <v>69</v>
      </c>
      <c r="E2" s="7" t="s">
        <v>69</v>
      </c>
      <c r="F2" s="7" t="s">
        <v>70</v>
      </c>
      <c r="G2" s="7" t="s">
        <v>70</v>
      </c>
      <c r="H2" s="7" t="s">
        <v>69</v>
      </c>
      <c r="I2" s="7" t="s">
        <v>70</v>
      </c>
      <c r="J2" s="7" t="s">
        <v>69</v>
      </c>
      <c r="K2" s="7" t="s">
        <v>69</v>
      </c>
      <c r="L2" s="7" t="s">
        <v>70</v>
      </c>
      <c r="M2" s="7" t="s">
        <v>70</v>
      </c>
      <c r="N2" s="7">
        <f t="shared" ref="N2:N17" si="0">COUNTIF(C2:M2, "Open") + COUNTIF(C2:M2, "Thin")</f>
        <v>5</v>
      </c>
      <c r="O2" s="7"/>
      <c r="P2" s="7"/>
      <c r="Q2" s="7"/>
      <c r="R2" s="7"/>
      <c r="S2" s="7"/>
      <c r="T2" s="7"/>
    </row>
    <row r="3" spans="1:25" ht="22.5" customHeight="1" x14ac:dyDescent="0.15">
      <c r="A3" s="15" t="s">
        <v>15</v>
      </c>
      <c r="B3" s="7" t="s">
        <v>12</v>
      </c>
      <c r="C3" s="7" t="s">
        <v>69</v>
      </c>
      <c r="D3" s="7" t="s">
        <v>70</v>
      </c>
      <c r="E3" s="7" t="s">
        <v>70</v>
      </c>
      <c r="F3" s="7" t="s">
        <v>70</v>
      </c>
      <c r="G3" s="7" t="s">
        <v>70</v>
      </c>
      <c r="H3" s="7" t="s">
        <v>70</v>
      </c>
      <c r="I3" s="7" t="s">
        <v>70</v>
      </c>
      <c r="J3" s="7" t="s">
        <v>69</v>
      </c>
      <c r="K3" s="7" t="s">
        <v>70</v>
      </c>
      <c r="L3" s="7" t="s">
        <v>70</v>
      </c>
      <c r="M3" s="7" t="s">
        <v>70</v>
      </c>
      <c r="N3" s="7">
        <f t="shared" si="0"/>
        <v>9</v>
      </c>
      <c r="O3" s="7"/>
      <c r="P3" s="7"/>
      <c r="Q3" s="7"/>
      <c r="R3" s="7"/>
      <c r="S3" s="7"/>
      <c r="T3" s="7"/>
    </row>
    <row r="4" spans="1:25" ht="22.5" customHeight="1" x14ac:dyDescent="0.15">
      <c r="A4" s="15" t="s">
        <v>18</v>
      </c>
      <c r="B4" s="7" t="s">
        <v>12</v>
      </c>
      <c r="C4" s="7" t="s">
        <v>69</v>
      </c>
      <c r="D4" s="7" t="s">
        <v>70</v>
      </c>
      <c r="E4" s="7" t="s">
        <v>69</v>
      </c>
      <c r="F4" s="7" t="s">
        <v>69</v>
      </c>
      <c r="G4" s="7" t="s">
        <v>69</v>
      </c>
      <c r="H4" s="7" t="s">
        <v>69</v>
      </c>
      <c r="I4" s="7" t="s">
        <v>70</v>
      </c>
      <c r="J4" s="7" t="s">
        <v>69</v>
      </c>
      <c r="K4" s="7" t="s">
        <v>70</v>
      </c>
      <c r="L4" s="7" t="s">
        <v>70</v>
      </c>
      <c r="M4" s="7" t="s">
        <v>70</v>
      </c>
      <c r="N4" s="7">
        <f t="shared" si="0"/>
        <v>5</v>
      </c>
      <c r="O4" s="7"/>
      <c r="P4" s="7"/>
      <c r="Q4" s="7"/>
      <c r="R4" s="7"/>
      <c r="S4" s="7"/>
      <c r="T4" s="7"/>
    </row>
    <row r="5" spans="1:25" ht="22.5" customHeight="1" x14ac:dyDescent="0.15">
      <c r="A5" s="15" t="s">
        <v>22</v>
      </c>
      <c r="B5" s="7" t="s">
        <v>12</v>
      </c>
      <c r="C5" s="7" t="s">
        <v>69</v>
      </c>
      <c r="D5" s="7" t="s">
        <v>70</v>
      </c>
      <c r="E5" s="7" t="s">
        <v>69</v>
      </c>
      <c r="F5" s="7" t="s">
        <v>69</v>
      </c>
      <c r="G5" s="7" t="s">
        <v>69</v>
      </c>
      <c r="H5" s="7" t="s">
        <v>70</v>
      </c>
      <c r="I5" s="7" t="s">
        <v>70</v>
      </c>
      <c r="J5" s="7" t="s">
        <v>70</v>
      </c>
      <c r="K5" s="7" t="s">
        <v>69</v>
      </c>
      <c r="L5" s="7" t="s">
        <v>69</v>
      </c>
      <c r="M5" s="7" t="s">
        <v>69</v>
      </c>
      <c r="N5" s="7">
        <f t="shared" si="0"/>
        <v>4</v>
      </c>
      <c r="O5" s="7"/>
      <c r="P5" s="7"/>
      <c r="Q5" s="7"/>
      <c r="R5" s="7"/>
      <c r="S5" s="7"/>
      <c r="T5" s="7"/>
    </row>
    <row r="6" spans="1:25" ht="22.5" customHeight="1" x14ac:dyDescent="0.15">
      <c r="A6" s="15" t="s">
        <v>20</v>
      </c>
      <c r="B6" s="7" t="s">
        <v>12</v>
      </c>
      <c r="C6" s="7" t="s">
        <v>69</v>
      </c>
      <c r="D6" s="7" t="s">
        <v>69</v>
      </c>
      <c r="E6" s="7" t="s">
        <v>69</v>
      </c>
      <c r="F6" s="7" t="s">
        <v>69</v>
      </c>
      <c r="G6" s="7" t="s">
        <v>69</v>
      </c>
      <c r="H6" s="7" t="s">
        <v>70</v>
      </c>
      <c r="I6" s="7" t="s">
        <v>70</v>
      </c>
      <c r="J6" s="7" t="s">
        <v>69</v>
      </c>
      <c r="K6" s="7" t="s">
        <v>69</v>
      </c>
      <c r="L6" s="7" t="s">
        <v>69</v>
      </c>
      <c r="M6" s="7" t="s">
        <v>70</v>
      </c>
      <c r="N6" s="7">
        <f t="shared" si="0"/>
        <v>3</v>
      </c>
      <c r="O6" s="7"/>
      <c r="P6" s="7"/>
      <c r="Q6" s="7"/>
      <c r="R6" s="7"/>
      <c r="S6" s="7"/>
      <c r="T6" s="7"/>
    </row>
    <row r="7" spans="1:25" ht="22.5" customHeight="1" x14ac:dyDescent="0.15">
      <c r="A7" s="15" t="s">
        <v>25</v>
      </c>
      <c r="B7" s="7" t="s">
        <v>12</v>
      </c>
      <c r="C7" s="7" t="s">
        <v>69</v>
      </c>
      <c r="D7" s="7" t="s">
        <v>69</v>
      </c>
      <c r="E7" s="7" t="s">
        <v>69</v>
      </c>
      <c r="F7" s="7" t="s">
        <v>69</v>
      </c>
      <c r="G7" s="7" t="s">
        <v>70</v>
      </c>
      <c r="H7" s="7" t="s">
        <v>70</v>
      </c>
      <c r="I7" s="7" t="s">
        <v>70</v>
      </c>
      <c r="J7" s="7" t="s">
        <v>69</v>
      </c>
      <c r="K7" s="7" t="s">
        <v>70</v>
      </c>
      <c r="L7" s="7" t="s">
        <v>69</v>
      </c>
      <c r="M7" s="7" t="s">
        <v>69</v>
      </c>
      <c r="N7" s="7">
        <f t="shared" si="0"/>
        <v>4</v>
      </c>
      <c r="O7" s="7"/>
      <c r="P7" s="7"/>
      <c r="Q7" s="7"/>
      <c r="R7" s="7"/>
      <c r="S7" s="7"/>
      <c r="T7" s="7"/>
    </row>
    <row r="8" spans="1:25" ht="22.5" customHeight="1" x14ac:dyDescent="0.15">
      <c r="A8" s="15" t="s">
        <v>27</v>
      </c>
      <c r="B8" s="7" t="s">
        <v>12</v>
      </c>
      <c r="C8" s="7" t="s">
        <v>69</v>
      </c>
      <c r="D8" s="7" t="s">
        <v>69</v>
      </c>
      <c r="E8" s="7" t="s">
        <v>69</v>
      </c>
      <c r="F8" s="7" t="s">
        <v>69</v>
      </c>
      <c r="G8" s="7" t="s">
        <v>70</v>
      </c>
      <c r="H8" s="7" t="s">
        <v>70</v>
      </c>
      <c r="I8" s="7" t="s">
        <v>70</v>
      </c>
      <c r="J8" s="7" t="s">
        <v>70</v>
      </c>
      <c r="K8" s="7" t="s">
        <v>70</v>
      </c>
      <c r="L8" s="7" t="s">
        <v>70</v>
      </c>
      <c r="M8" s="7" t="s">
        <v>70</v>
      </c>
      <c r="N8" s="7">
        <f t="shared" si="0"/>
        <v>7</v>
      </c>
      <c r="O8" s="7"/>
      <c r="P8" s="7"/>
      <c r="Q8" s="7"/>
      <c r="R8" s="7"/>
      <c r="S8" s="7"/>
      <c r="T8" s="7"/>
    </row>
    <row r="9" spans="1:25" ht="22.5" customHeight="1" x14ac:dyDescent="0.15">
      <c r="A9" s="15" t="s">
        <v>30</v>
      </c>
      <c r="B9" s="7" t="s">
        <v>12</v>
      </c>
      <c r="C9" s="7" t="s">
        <v>69</v>
      </c>
      <c r="D9" s="7" t="s">
        <v>69</v>
      </c>
      <c r="E9" s="7" t="s">
        <v>69</v>
      </c>
      <c r="F9" s="7" t="s">
        <v>69</v>
      </c>
      <c r="G9" s="7" t="s">
        <v>70</v>
      </c>
      <c r="H9" s="7" t="s">
        <v>69</v>
      </c>
      <c r="I9" s="7" t="s">
        <v>70</v>
      </c>
      <c r="J9" s="7" t="s">
        <v>70</v>
      </c>
      <c r="K9" s="7" t="s">
        <v>69</v>
      </c>
      <c r="L9" s="7" t="s">
        <v>69</v>
      </c>
      <c r="M9" s="7" t="s">
        <v>69</v>
      </c>
      <c r="N9" s="7">
        <f t="shared" si="0"/>
        <v>3</v>
      </c>
      <c r="O9" s="7"/>
      <c r="P9" s="7"/>
      <c r="Q9" s="7"/>
      <c r="R9" s="7"/>
      <c r="S9" s="7"/>
      <c r="T9" s="7"/>
    </row>
    <row r="10" spans="1:25" ht="22.5" customHeight="1" x14ac:dyDescent="0.15">
      <c r="A10" s="5" t="s">
        <v>32</v>
      </c>
      <c r="B10" s="7" t="s">
        <v>12</v>
      </c>
      <c r="C10" s="7" t="s">
        <v>69</v>
      </c>
      <c r="D10" s="7" t="s">
        <v>69</v>
      </c>
      <c r="E10" s="7" t="s">
        <v>70</v>
      </c>
      <c r="F10" s="7" t="s">
        <v>69</v>
      </c>
      <c r="G10" s="7" t="s">
        <v>69</v>
      </c>
      <c r="H10" s="7" t="s">
        <v>69</v>
      </c>
      <c r="I10" s="7" t="s">
        <v>70</v>
      </c>
      <c r="J10" s="7" t="s">
        <v>69</v>
      </c>
      <c r="K10" s="7" t="s">
        <v>69</v>
      </c>
      <c r="L10" s="7" t="s">
        <v>69</v>
      </c>
      <c r="M10" s="7" t="s">
        <v>70</v>
      </c>
      <c r="N10" s="7">
        <f t="shared" si="0"/>
        <v>3</v>
      </c>
      <c r="O10" s="7"/>
      <c r="P10" s="7"/>
      <c r="Q10" s="7"/>
      <c r="R10" s="7"/>
      <c r="S10" s="7"/>
      <c r="T10" s="7"/>
    </row>
    <row r="11" spans="1:25" ht="22.5" customHeight="1" x14ac:dyDescent="0.15">
      <c r="A11" s="5" t="s">
        <v>34</v>
      </c>
      <c r="B11" s="7" t="s">
        <v>12</v>
      </c>
      <c r="C11" s="7" t="s">
        <v>70</v>
      </c>
      <c r="D11" s="7" t="s">
        <v>69</v>
      </c>
      <c r="E11" s="7" t="s">
        <v>70</v>
      </c>
      <c r="F11" s="7" t="s">
        <v>70</v>
      </c>
      <c r="G11" s="7" t="s">
        <v>70</v>
      </c>
      <c r="H11" s="7" t="s">
        <v>70</v>
      </c>
      <c r="I11" s="7" t="s">
        <v>69</v>
      </c>
      <c r="J11" s="7" t="s">
        <v>70</v>
      </c>
      <c r="K11" s="7" t="s">
        <v>69</v>
      </c>
      <c r="L11" s="7" t="s">
        <v>69</v>
      </c>
      <c r="M11" s="7" t="s">
        <v>70</v>
      </c>
      <c r="N11" s="7">
        <f t="shared" si="0"/>
        <v>7</v>
      </c>
      <c r="O11" s="7"/>
      <c r="P11" s="7"/>
      <c r="Q11" s="7"/>
      <c r="R11" s="7"/>
      <c r="S11" s="7"/>
      <c r="T11" s="7"/>
    </row>
    <row r="12" spans="1:25" ht="22.5" customHeight="1" x14ac:dyDescent="0.15">
      <c r="A12" s="15" t="s">
        <v>37</v>
      </c>
      <c r="B12" s="7" t="s">
        <v>12</v>
      </c>
      <c r="C12" s="7" t="s">
        <v>69</v>
      </c>
      <c r="D12" s="7" t="s">
        <v>70</v>
      </c>
      <c r="E12" s="7" t="s">
        <v>69</v>
      </c>
      <c r="F12" s="7" t="s">
        <v>70</v>
      </c>
      <c r="G12" s="7" t="s">
        <v>69</v>
      </c>
      <c r="H12" s="7" t="s">
        <v>69</v>
      </c>
      <c r="I12" s="7" t="s">
        <v>69</v>
      </c>
      <c r="J12" s="7" t="s">
        <v>69</v>
      </c>
      <c r="K12" s="7" t="s">
        <v>69</v>
      </c>
      <c r="L12" s="7" t="s">
        <v>70</v>
      </c>
      <c r="M12" s="7" t="s">
        <v>69</v>
      </c>
      <c r="N12" s="7">
        <f t="shared" si="0"/>
        <v>3</v>
      </c>
      <c r="O12" s="7"/>
      <c r="P12" s="7"/>
      <c r="Q12" s="7"/>
      <c r="R12" s="7"/>
      <c r="S12" s="7"/>
      <c r="T12" s="7"/>
    </row>
    <row r="13" spans="1:25" ht="22.5" customHeight="1" x14ac:dyDescent="0.15">
      <c r="A13" s="5" t="s">
        <v>39</v>
      </c>
      <c r="B13" s="7" t="s">
        <v>12</v>
      </c>
      <c r="C13" s="7" t="s">
        <v>69</v>
      </c>
      <c r="D13" s="7" t="s">
        <v>70</v>
      </c>
      <c r="E13" s="7" t="s">
        <v>69</v>
      </c>
      <c r="F13" s="7" t="s">
        <v>70</v>
      </c>
      <c r="G13" s="7" t="s">
        <v>70</v>
      </c>
      <c r="H13" s="7" t="s">
        <v>70</v>
      </c>
      <c r="I13" s="7" t="s">
        <v>70</v>
      </c>
      <c r="J13" s="7" t="s">
        <v>70</v>
      </c>
      <c r="K13" s="7" t="s">
        <v>70</v>
      </c>
      <c r="L13" s="7" t="s">
        <v>69</v>
      </c>
      <c r="M13" s="7" t="s">
        <v>69</v>
      </c>
      <c r="N13" s="7">
        <f t="shared" si="0"/>
        <v>7</v>
      </c>
      <c r="O13" s="7"/>
      <c r="P13" s="7"/>
      <c r="Q13" s="7"/>
      <c r="R13" s="7"/>
      <c r="S13" s="7"/>
      <c r="T13" s="7"/>
    </row>
    <row r="14" spans="1:25" ht="22.5" customHeight="1" x14ac:dyDescent="0.15">
      <c r="A14" s="5" t="s">
        <v>41</v>
      </c>
      <c r="B14" s="7" t="s">
        <v>12</v>
      </c>
      <c r="C14" s="7" t="s">
        <v>70</v>
      </c>
      <c r="D14" s="7" t="s">
        <v>70</v>
      </c>
      <c r="E14" s="7" t="s">
        <v>69</v>
      </c>
      <c r="F14" s="7" t="s">
        <v>69</v>
      </c>
      <c r="G14" s="7" t="s">
        <v>69</v>
      </c>
      <c r="H14" s="7" t="s">
        <v>70</v>
      </c>
      <c r="I14" s="7" t="s">
        <v>70</v>
      </c>
      <c r="J14" s="7" t="s">
        <v>69</v>
      </c>
      <c r="K14" s="7" t="s">
        <v>70</v>
      </c>
      <c r="L14" s="7" t="s">
        <v>69</v>
      </c>
      <c r="M14" s="7" t="s">
        <v>70</v>
      </c>
      <c r="N14" s="7">
        <f t="shared" si="0"/>
        <v>6</v>
      </c>
      <c r="O14" s="7"/>
      <c r="P14" s="7"/>
      <c r="Q14" s="7"/>
      <c r="R14" s="7"/>
      <c r="S14" s="7"/>
      <c r="T14" s="7"/>
    </row>
    <row r="15" spans="1:25" ht="22.5" customHeight="1" x14ac:dyDescent="0.15">
      <c r="A15" s="5" t="s">
        <v>44</v>
      </c>
      <c r="B15" s="7" t="s">
        <v>12</v>
      </c>
      <c r="C15" s="7" t="s">
        <v>69</v>
      </c>
      <c r="D15" s="7" t="s">
        <v>69</v>
      </c>
      <c r="E15" s="7" t="s">
        <v>69</v>
      </c>
      <c r="F15" s="7" t="s">
        <v>69</v>
      </c>
      <c r="G15" s="7" t="s">
        <v>70</v>
      </c>
      <c r="H15" s="7" t="s">
        <v>70</v>
      </c>
      <c r="I15" s="7" t="s">
        <v>69</v>
      </c>
      <c r="J15" s="7" t="s">
        <v>70</v>
      </c>
      <c r="K15" s="7" t="s">
        <v>70</v>
      </c>
      <c r="L15" s="7" t="s">
        <v>70</v>
      </c>
      <c r="M15" s="7" t="s">
        <v>70</v>
      </c>
      <c r="N15" s="7">
        <f t="shared" si="0"/>
        <v>6</v>
      </c>
      <c r="O15" s="7"/>
      <c r="P15" s="7"/>
      <c r="Q15" s="7"/>
      <c r="R15" s="7"/>
      <c r="S15" s="7"/>
      <c r="T15" s="7"/>
    </row>
    <row r="16" spans="1:25" ht="22.5" customHeight="1" x14ac:dyDescent="0.15">
      <c r="A16" s="5" t="s">
        <v>46</v>
      </c>
      <c r="B16" s="7" t="s">
        <v>12</v>
      </c>
      <c r="C16" s="7" t="s">
        <v>70</v>
      </c>
      <c r="D16" s="7" t="s">
        <v>69</v>
      </c>
      <c r="E16" s="7" t="s">
        <v>69</v>
      </c>
      <c r="F16" s="7" t="s">
        <v>69</v>
      </c>
      <c r="G16" s="7" t="s">
        <v>69</v>
      </c>
      <c r="H16" s="7" t="s">
        <v>69</v>
      </c>
      <c r="I16" s="7" t="s">
        <v>69</v>
      </c>
      <c r="J16" s="7" t="s">
        <v>69</v>
      </c>
      <c r="K16" s="7" t="s">
        <v>69</v>
      </c>
      <c r="L16" s="7" t="s">
        <v>69</v>
      </c>
      <c r="M16" s="7" t="s">
        <v>69</v>
      </c>
      <c r="N16" s="7">
        <f t="shared" si="0"/>
        <v>1</v>
      </c>
      <c r="O16" s="7"/>
      <c r="P16" s="7"/>
      <c r="Q16" s="7"/>
      <c r="R16" s="7"/>
      <c r="S16" s="7"/>
      <c r="T16" s="7"/>
    </row>
    <row r="17" spans="1:20" ht="22.5" customHeight="1" x14ac:dyDescent="0.15">
      <c r="A17" s="5" t="s">
        <v>48</v>
      </c>
      <c r="B17" s="7" t="s">
        <v>12</v>
      </c>
      <c r="C17" s="7" t="s">
        <v>69</v>
      </c>
      <c r="D17" s="7" t="s">
        <v>69</v>
      </c>
      <c r="E17" s="7" t="s">
        <v>69</v>
      </c>
      <c r="F17" s="7" t="s">
        <v>69</v>
      </c>
      <c r="G17" s="7" t="s">
        <v>70</v>
      </c>
      <c r="H17" s="7" t="s">
        <v>69</v>
      </c>
      <c r="I17" s="7" t="s">
        <v>70</v>
      </c>
      <c r="J17" s="7" t="s">
        <v>69</v>
      </c>
      <c r="K17" s="7" t="s">
        <v>69</v>
      </c>
      <c r="L17" s="7" t="s">
        <v>69</v>
      </c>
      <c r="M17" s="7" t="s">
        <v>69</v>
      </c>
      <c r="N17" s="7">
        <f t="shared" si="0"/>
        <v>2</v>
      </c>
      <c r="O17" s="7"/>
      <c r="P17" s="7"/>
      <c r="Q17" s="7"/>
      <c r="R17" s="7"/>
      <c r="S17" s="7"/>
      <c r="T17" s="7"/>
    </row>
  </sheetData>
  <conditionalFormatting sqref="C2:M17">
    <cfRule type="cellIs" dxfId="2" priority="1" operator="equal">
      <formula>"Open"</formula>
    </cfRule>
    <cfRule type="cellIs" dxfId="1" priority="2" operator="equal">
      <formula>"Thin"</formula>
    </cfRule>
    <cfRule type="cellIs" dxfId="0" priority="3" operator="equal">
      <formula>"Covered"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1016"/>
  <sheetViews>
    <sheetView workbookViewId="0"/>
  </sheetViews>
  <sheetFormatPr baseColWidth="10" defaultColWidth="12.6640625" defaultRowHeight="15.75" customHeight="1" x14ac:dyDescent="0.15"/>
  <cols>
    <col min="1" max="1" width="3.6640625" customWidth="1"/>
    <col min="2" max="2" width="19.33203125" customWidth="1"/>
    <col min="3" max="3" width="16" customWidth="1"/>
    <col min="4" max="4" width="14.1640625" customWidth="1"/>
    <col min="5" max="5" width="13.5" customWidth="1"/>
    <col min="6" max="7" width="14.33203125" customWidth="1"/>
    <col min="8" max="8" width="15.83203125" customWidth="1"/>
    <col min="9" max="9" width="15.6640625" customWidth="1"/>
    <col min="10" max="10" width="14.33203125" customWidth="1"/>
    <col min="11" max="11" width="14.83203125" customWidth="1"/>
    <col min="12" max="12" width="14.33203125" customWidth="1"/>
    <col min="13" max="13" width="13.83203125" customWidth="1"/>
  </cols>
  <sheetData>
    <row r="1" spans="1:27" ht="15.75" customHeight="1" x14ac:dyDescent="0.15">
      <c r="A1" s="1"/>
      <c r="B1" s="35" t="s">
        <v>71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15">
      <c r="A3" s="1"/>
      <c r="B3" s="36" t="s">
        <v>72</v>
      </c>
      <c r="C3" s="37" t="s">
        <v>51</v>
      </c>
      <c r="D3" s="38" t="s">
        <v>52</v>
      </c>
      <c r="E3" s="39" t="s">
        <v>53</v>
      </c>
      <c r="F3" s="38" t="s">
        <v>54</v>
      </c>
      <c r="G3" s="39" t="s">
        <v>55</v>
      </c>
      <c r="H3" s="39" t="s">
        <v>56</v>
      </c>
      <c r="I3" s="38" t="s">
        <v>57</v>
      </c>
      <c r="J3" s="38" t="s">
        <v>58</v>
      </c>
      <c r="K3" s="39" t="s">
        <v>59</v>
      </c>
      <c r="L3" s="39" t="s">
        <v>60</v>
      </c>
      <c r="M3" s="40" t="s">
        <v>61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15">
      <c r="A4" s="1"/>
      <c r="B4" s="41" t="s">
        <v>73</v>
      </c>
      <c r="C4" s="42" t="s">
        <v>74</v>
      </c>
      <c r="D4" s="43" t="s">
        <v>75</v>
      </c>
      <c r="E4" s="43" t="s">
        <v>76</v>
      </c>
      <c r="F4" s="44" t="s">
        <v>77</v>
      </c>
      <c r="G4" s="42" t="s">
        <v>78</v>
      </c>
      <c r="H4" s="43" t="s">
        <v>79</v>
      </c>
      <c r="I4" s="45" t="s">
        <v>80</v>
      </c>
      <c r="J4" s="46" t="s">
        <v>81</v>
      </c>
      <c r="K4" s="43" t="s">
        <v>82</v>
      </c>
      <c r="L4" s="43" t="s">
        <v>83</v>
      </c>
      <c r="M4" s="47" t="s">
        <v>84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15">
      <c r="A5" s="1"/>
      <c r="B5" s="48">
        <v>4231</v>
      </c>
      <c r="C5" s="46" t="s">
        <v>85</v>
      </c>
      <c r="D5" s="42" t="s">
        <v>86</v>
      </c>
      <c r="E5" s="43" t="s">
        <v>87</v>
      </c>
      <c r="F5" s="49" t="s">
        <v>88</v>
      </c>
      <c r="G5" s="42" t="s">
        <v>89</v>
      </c>
      <c r="H5" s="46" t="s">
        <v>90</v>
      </c>
      <c r="I5" s="42" t="s">
        <v>91</v>
      </c>
      <c r="J5" s="42" t="s">
        <v>92</v>
      </c>
      <c r="K5" s="43" t="s">
        <v>93</v>
      </c>
      <c r="L5" s="43" t="s">
        <v>94</v>
      </c>
      <c r="M5" s="50" t="s">
        <v>95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15">
      <c r="A6" s="1"/>
      <c r="B6" s="51"/>
      <c r="C6" s="43" t="s">
        <v>96</v>
      </c>
      <c r="D6" s="45" t="s">
        <v>97</v>
      </c>
      <c r="E6" s="49" t="s">
        <v>98</v>
      </c>
      <c r="I6" s="43" t="s">
        <v>99</v>
      </c>
      <c r="J6" s="45" t="s">
        <v>100</v>
      </c>
      <c r="K6" s="46" t="s">
        <v>101</v>
      </c>
      <c r="L6" s="49" t="s">
        <v>102</v>
      </c>
      <c r="M6" s="52" t="s">
        <v>103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15">
      <c r="A7" s="1"/>
      <c r="B7" s="53"/>
      <c r="E7" s="50"/>
      <c r="G7" s="54"/>
      <c r="H7" s="55"/>
      <c r="I7" s="54"/>
      <c r="J7" s="54"/>
      <c r="L7" s="5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15">
      <c r="A8" s="1"/>
      <c r="B8" s="36" t="s">
        <v>72</v>
      </c>
      <c r="C8" s="37" t="s">
        <v>51</v>
      </c>
      <c r="D8" s="38" t="s">
        <v>52</v>
      </c>
      <c r="E8" s="37" t="s">
        <v>53</v>
      </c>
      <c r="F8" s="37" t="s">
        <v>54</v>
      </c>
      <c r="G8" s="37" t="s">
        <v>55</v>
      </c>
      <c r="H8" s="37" t="s">
        <v>56</v>
      </c>
      <c r="I8" s="38" t="s">
        <v>57</v>
      </c>
      <c r="J8" s="37" t="s">
        <v>58</v>
      </c>
      <c r="K8" s="38" t="s">
        <v>59</v>
      </c>
      <c r="L8" s="38" t="s">
        <v>60</v>
      </c>
      <c r="M8" s="56" t="s">
        <v>61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15">
      <c r="A9" s="1"/>
      <c r="B9" s="41" t="s">
        <v>104</v>
      </c>
      <c r="C9" s="42" t="s">
        <v>105</v>
      </c>
      <c r="D9" s="43" t="s">
        <v>106</v>
      </c>
      <c r="E9" s="46" t="s">
        <v>107</v>
      </c>
      <c r="F9" s="46" t="s">
        <v>108</v>
      </c>
      <c r="G9" s="43" t="s">
        <v>109</v>
      </c>
      <c r="H9" s="46" t="s">
        <v>110</v>
      </c>
      <c r="I9" s="57" t="s">
        <v>111</v>
      </c>
      <c r="J9" s="42" t="s">
        <v>112</v>
      </c>
      <c r="K9" s="46" t="s">
        <v>113</v>
      </c>
      <c r="L9" s="44" t="s">
        <v>114</v>
      </c>
      <c r="M9" s="58" t="s">
        <v>115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15">
      <c r="A10" s="1"/>
      <c r="B10" s="48">
        <v>3412</v>
      </c>
      <c r="C10" s="46" t="s">
        <v>116</v>
      </c>
      <c r="D10" s="46" t="s">
        <v>117</v>
      </c>
      <c r="E10" s="43" t="s">
        <v>118</v>
      </c>
      <c r="F10" s="43" t="s">
        <v>119</v>
      </c>
      <c r="G10" s="46" t="s">
        <v>120</v>
      </c>
      <c r="H10" s="44" t="s">
        <v>121</v>
      </c>
      <c r="I10" s="44" t="s">
        <v>122</v>
      </c>
      <c r="J10" s="44" t="s">
        <v>123</v>
      </c>
      <c r="K10" s="43" t="s">
        <v>124</v>
      </c>
      <c r="L10" s="1"/>
      <c r="M10" s="58" t="s">
        <v>125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15">
      <c r="A11" s="1"/>
      <c r="B11" s="51"/>
      <c r="C11" s="46" t="s">
        <v>126</v>
      </c>
      <c r="D11" s="43" t="s">
        <v>127</v>
      </c>
      <c r="E11" s="46" t="s">
        <v>128</v>
      </c>
      <c r="F11" s="1"/>
      <c r="H11" s="43" t="s">
        <v>129</v>
      </c>
      <c r="I11" s="43" t="s">
        <v>130</v>
      </c>
      <c r="K11" s="45" t="s">
        <v>131</v>
      </c>
      <c r="M11" s="50" t="s">
        <v>132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15">
      <c r="A12" s="1"/>
      <c r="B12" s="53"/>
      <c r="C12" s="54"/>
      <c r="D12" s="55"/>
      <c r="E12" s="55" t="s">
        <v>133</v>
      </c>
      <c r="F12" s="1"/>
      <c r="G12" s="1"/>
      <c r="H12" s="1"/>
      <c r="I12" s="1"/>
      <c r="J12" s="54"/>
      <c r="K12" s="1"/>
      <c r="L12" s="54"/>
      <c r="M12" s="47" t="s">
        <v>134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15">
      <c r="A13" s="1"/>
      <c r="B13" s="36" t="s">
        <v>72</v>
      </c>
      <c r="C13" s="38" t="s">
        <v>51</v>
      </c>
      <c r="D13" s="38" t="s">
        <v>52</v>
      </c>
      <c r="E13" s="38" t="s">
        <v>53</v>
      </c>
      <c r="F13" s="37" t="s">
        <v>54</v>
      </c>
      <c r="G13" s="37" t="s">
        <v>55</v>
      </c>
      <c r="H13" s="38" t="s">
        <v>56</v>
      </c>
      <c r="I13" s="37" t="s">
        <v>57</v>
      </c>
      <c r="J13" s="38" t="s">
        <v>58</v>
      </c>
      <c r="K13" s="38" t="s">
        <v>59</v>
      </c>
      <c r="L13" s="37" t="s">
        <v>60</v>
      </c>
      <c r="M13" s="56" t="s">
        <v>61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15">
      <c r="A14" s="1"/>
      <c r="B14" s="41" t="s">
        <v>135</v>
      </c>
      <c r="C14" s="46" t="s">
        <v>136</v>
      </c>
      <c r="D14" s="43" t="s">
        <v>137</v>
      </c>
      <c r="E14" s="43" t="s">
        <v>138</v>
      </c>
      <c r="F14" s="43" t="s">
        <v>139</v>
      </c>
      <c r="G14" s="42" t="s">
        <v>140</v>
      </c>
      <c r="H14" s="43" t="s">
        <v>141</v>
      </c>
      <c r="I14" s="44" t="s">
        <v>142</v>
      </c>
      <c r="J14" s="1"/>
      <c r="K14" s="43" t="s">
        <v>143</v>
      </c>
      <c r="L14" s="44" t="s">
        <v>144</v>
      </c>
      <c r="M14" s="59" t="s">
        <v>145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15">
      <c r="A15" s="1"/>
      <c r="B15" s="48">
        <v>442</v>
      </c>
      <c r="C15" s="43" t="s">
        <v>146</v>
      </c>
      <c r="D15" s="43" t="s">
        <v>147</v>
      </c>
      <c r="E15" s="43" t="s">
        <v>148</v>
      </c>
      <c r="G15" s="43" t="s">
        <v>149</v>
      </c>
      <c r="H15" s="43" t="s">
        <v>150</v>
      </c>
      <c r="I15" s="46" t="s">
        <v>151</v>
      </c>
      <c r="K15" s="50" t="s">
        <v>152</v>
      </c>
      <c r="L15" s="43" t="s">
        <v>153</v>
      </c>
      <c r="M15" s="44" t="s">
        <v>154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15">
      <c r="A16" s="1"/>
      <c r="C16" s="43" t="s">
        <v>155</v>
      </c>
      <c r="D16" s="43" t="s">
        <v>156</v>
      </c>
      <c r="G16" s="44" t="s">
        <v>157</v>
      </c>
      <c r="H16" s="1"/>
      <c r="I16" s="43"/>
      <c r="K16" s="43" t="s">
        <v>158</v>
      </c>
      <c r="M16" s="44" t="s">
        <v>159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15">
      <c r="A17" s="1"/>
      <c r="B17" s="1"/>
      <c r="C17" s="1"/>
      <c r="D17" s="1"/>
      <c r="F17" s="1"/>
      <c r="H17" s="1"/>
      <c r="I17" s="1"/>
      <c r="J17" s="1"/>
      <c r="M17" s="60" t="s">
        <v>160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15">
      <c r="A18" s="1"/>
      <c r="B18" s="53"/>
      <c r="C18" s="1"/>
      <c r="D18" s="54"/>
      <c r="F18" s="1"/>
      <c r="H18" s="54"/>
      <c r="I18" s="54"/>
      <c r="J18" s="54"/>
      <c r="L18" s="1"/>
      <c r="M18" s="47" t="s">
        <v>161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15">
      <c r="A19" s="1"/>
      <c r="B19" s="36" t="s">
        <v>72</v>
      </c>
      <c r="C19" s="38" t="s">
        <v>51</v>
      </c>
      <c r="D19" s="37" t="s">
        <v>52</v>
      </c>
      <c r="E19" s="38" t="s">
        <v>53</v>
      </c>
      <c r="F19" s="37" t="s">
        <v>54</v>
      </c>
      <c r="G19" s="38" t="s">
        <v>55</v>
      </c>
      <c r="H19" s="38" t="s">
        <v>56</v>
      </c>
      <c r="I19" s="38" t="s">
        <v>57</v>
      </c>
      <c r="J19" s="38" t="s">
        <v>58</v>
      </c>
      <c r="K19" s="38" t="s">
        <v>59</v>
      </c>
      <c r="L19" s="37" t="s">
        <v>60</v>
      </c>
      <c r="M19" s="40" t="s">
        <v>61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15">
      <c r="A20" s="1"/>
      <c r="B20" s="41" t="s">
        <v>162</v>
      </c>
      <c r="C20" s="42" t="s">
        <v>163</v>
      </c>
      <c r="D20" s="44" t="s">
        <v>164</v>
      </c>
      <c r="E20" s="43" t="s">
        <v>165</v>
      </c>
      <c r="F20" s="1"/>
      <c r="G20" s="43" t="s">
        <v>166</v>
      </c>
      <c r="H20" s="42" t="s">
        <v>167</v>
      </c>
      <c r="I20" s="42" t="s">
        <v>168</v>
      </c>
      <c r="J20" s="43" t="s">
        <v>169</v>
      </c>
      <c r="K20" s="43" t="s">
        <v>170</v>
      </c>
      <c r="L20" s="45" t="s">
        <v>171</v>
      </c>
      <c r="M20" s="47" t="s">
        <v>172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15">
      <c r="A21" s="1"/>
      <c r="B21" s="48">
        <v>4231</v>
      </c>
      <c r="C21" s="43" t="s">
        <v>173</v>
      </c>
      <c r="D21" s="44" t="s">
        <v>174</v>
      </c>
      <c r="E21" s="43" t="s">
        <v>175</v>
      </c>
      <c r="F21" s="1"/>
      <c r="G21" s="43" t="s">
        <v>176</v>
      </c>
      <c r="H21" s="43" t="s">
        <v>177</v>
      </c>
      <c r="I21" s="43" t="s">
        <v>178</v>
      </c>
      <c r="J21" s="43" t="s">
        <v>179</v>
      </c>
      <c r="K21" s="44" t="s">
        <v>180</v>
      </c>
      <c r="L21" s="43"/>
      <c r="M21" s="47" t="s">
        <v>181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15">
      <c r="A22" s="1"/>
      <c r="B22" s="51"/>
      <c r="C22" s="43" t="s">
        <v>182</v>
      </c>
      <c r="D22" s="1"/>
      <c r="E22" s="43" t="s">
        <v>183</v>
      </c>
      <c r="G22" s="1"/>
      <c r="H22" s="43" t="s">
        <v>184</v>
      </c>
      <c r="I22" s="1"/>
      <c r="J22" s="1"/>
      <c r="K22" s="46" t="s">
        <v>185</v>
      </c>
      <c r="L22" s="1"/>
      <c r="M22" s="4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15">
      <c r="A23" s="1"/>
      <c r="C23" s="46" t="s">
        <v>186</v>
      </c>
      <c r="D23" s="1"/>
      <c r="E23" s="46" t="s">
        <v>187</v>
      </c>
      <c r="F23" s="1"/>
      <c r="G23" s="1"/>
      <c r="H23" s="1"/>
      <c r="I23" s="1"/>
      <c r="J23" s="1"/>
      <c r="K23" s="46" t="s">
        <v>188</v>
      </c>
      <c r="L23" s="1"/>
      <c r="M23" s="6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15">
      <c r="A24" s="1"/>
      <c r="B24" s="53"/>
      <c r="C24" s="54"/>
      <c r="D24" s="54"/>
      <c r="E24" s="46" t="s">
        <v>189</v>
      </c>
      <c r="F24" s="54"/>
      <c r="G24" s="54"/>
      <c r="H24" s="54"/>
      <c r="I24" s="1"/>
      <c r="J24" s="54"/>
      <c r="L24" s="54"/>
      <c r="M24" s="6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15">
      <c r="A25" s="1"/>
      <c r="B25" s="36" t="s">
        <v>72</v>
      </c>
      <c r="C25" s="39" t="s">
        <v>51</v>
      </c>
      <c r="D25" s="39" t="s">
        <v>52</v>
      </c>
      <c r="E25" s="39" t="s">
        <v>53</v>
      </c>
      <c r="F25" s="39" t="s">
        <v>54</v>
      </c>
      <c r="G25" s="38" t="s">
        <v>55</v>
      </c>
      <c r="H25" s="39" t="s">
        <v>56</v>
      </c>
      <c r="I25" s="39" t="s">
        <v>57</v>
      </c>
      <c r="J25" s="38" t="s">
        <v>58</v>
      </c>
      <c r="K25" s="39" t="s">
        <v>59</v>
      </c>
      <c r="L25" s="39" t="s">
        <v>60</v>
      </c>
      <c r="M25" s="40" t="s">
        <v>61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15">
      <c r="A26" s="1"/>
      <c r="B26" s="41" t="s">
        <v>190</v>
      </c>
      <c r="C26" s="42" t="s">
        <v>191</v>
      </c>
      <c r="D26" s="42" t="s">
        <v>192</v>
      </c>
      <c r="E26" s="43" t="s">
        <v>193</v>
      </c>
      <c r="G26" s="42" t="s">
        <v>194</v>
      </c>
      <c r="H26" s="45" t="s">
        <v>195</v>
      </c>
      <c r="I26" s="42" t="s">
        <v>196</v>
      </c>
      <c r="J26" s="43" t="s">
        <v>197</v>
      </c>
      <c r="K26" s="42" t="s">
        <v>198</v>
      </c>
      <c r="L26" s="42" t="s">
        <v>199</v>
      </c>
      <c r="M26" s="59" t="s">
        <v>200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15">
      <c r="A27" s="1"/>
      <c r="B27" s="48">
        <v>4231</v>
      </c>
      <c r="C27" s="46" t="s">
        <v>201</v>
      </c>
      <c r="D27" s="43" t="s">
        <v>202</v>
      </c>
      <c r="E27" s="45" t="s">
        <v>203</v>
      </c>
      <c r="F27" s="43"/>
      <c r="G27" s="42" t="s">
        <v>204</v>
      </c>
      <c r="H27" s="42" t="s">
        <v>205</v>
      </c>
      <c r="I27" s="43" t="s">
        <v>206</v>
      </c>
      <c r="J27" s="42" t="s">
        <v>207</v>
      </c>
      <c r="K27" s="43" t="s">
        <v>208</v>
      </c>
      <c r="L27" s="43" t="s">
        <v>209</v>
      </c>
      <c r="M27" s="47" t="s">
        <v>210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15">
      <c r="A28" s="1"/>
      <c r="B28" s="51"/>
      <c r="C28" s="46" t="s">
        <v>211</v>
      </c>
      <c r="D28" s="1"/>
      <c r="E28" s="42" t="s">
        <v>212</v>
      </c>
      <c r="F28" s="1"/>
      <c r="G28" s="1"/>
      <c r="I28" s="42" t="s">
        <v>213</v>
      </c>
      <c r="J28" s="43" t="s">
        <v>214</v>
      </c>
      <c r="K28" s="1"/>
      <c r="L28" s="1"/>
      <c r="M28" s="63" t="s">
        <v>215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15">
      <c r="A29" s="1"/>
      <c r="C29" s="43" t="s">
        <v>216</v>
      </c>
      <c r="E29" s="43" t="s">
        <v>217</v>
      </c>
      <c r="F29" s="1"/>
      <c r="G29" s="1"/>
      <c r="H29" s="1"/>
      <c r="I29" s="43" t="s">
        <v>218</v>
      </c>
      <c r="K29" s="1"/>
      <c r="L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15">
      <c r="A30" s="1"/>
      <c r="B30" s="36" t="s">
        <v>72</v>
      </c>
      <c r="C30" s="38" t="s">
        <v>51</v>
      </c>
      <c r="D30" s="37" t="s">
        <v>52</v>
      </c>
      <c r="E30" s="38" t="s">
        <v>53</v>
      </c>
      <c r="F30" s="38" t="s">
        <v>54</v>
      </c>
      <c r="G30" s="38" t="s">
        <v>55</v>
      </c>
      <c r="H30" s="38" t="s">
        <v>56</v>
      </c>
      <c r="I30" s="37" t="s">
        <v>57</v>
      </c>
      <c r="J30" s="38" t="s">
        <v>58</v>
      </c>
      <c r="K30" s="37" t="s">
        <v>59</v>
      </c>
      <c r="L30" s="37" t="s">
        <v>60</v>
      </c>
      <c r="M30" s="56" t="s">
        <v>61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15">
      <c r="A31" s="1"/>
      <c r="B31" s="41" t="s">
        <v>219</v>
      </c>
      <c r="C31" s="43" t="s">
        <v>220</v>
      </c>
      <c r="D31" s="43" t="s">
        <v>221</v>
      </c>
      <c r="E31" s="43" t="s">
        <v>222</v>
      </c>
      <c r="F31" s="46" t="s">
        <v>223</v>
      </c>
      <c r="G31" s="43" t="s">
        <v>224</v>
      </c>
      <c r="H31" s="43" t="s">
        <v>225</v>
      </c>
      <c r="I31" s="44" t="s">
        <v>226</v>
      </c>
      <c r="J31" s="43" t="s">
        <v>227</v>
      </c>
      <c r="K31" s="46" t="s">
        <v>228</v>
      </c>
      <c r="L31" s="46" t="s">
        <v>229</v>
      </c>
      <c r="M31" s="58" t="s">
        <v>230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15">
      <c r="A32" s="1"/>
      <c r="B32" s="48">
        <v>4231</v>
      </c>
      <c r="C32" s="46" t="s">
        <v>231</v>
      </c>
      <c r="E32" s="44" t="s">
        <v>232</v>
      </c>
      <c r="G32" s="43" t="s">
        <v>233</v>
      </c>
      <c r="H32" s="46" t="s">
        <v>234</v>
      </c>
      <c r="I32" s="46" t="s">
        <v>235</v>
      </c>
      <c r="J32" s="43" t="s">
        <v>236</v>
      </c>
      <c r="K32" s="1"/>
      <c r="L32" s="1"/>
      <c r="M32" s="47" t="s">
        <v>237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15">
      <c r="A33" s="1"/>
      <c r="B33" s="51"/>
      <c r="C33" s="46" t="s">
        <v>238</v>
      </c>
      <c r="D33" s="1"/>
      <c r="E33" s="43" t="s">
        <v>239</v>
      </c>
      <c r="G33" s="1"/>
      <c r="H33" s="43" t="s">
        <v>240</v>
      </c>
      <c r="I33" s="1"/>
      <c r="J33" s="43" t="s">
        <v>241</v>
      </c>
      <c r="K33" s="1"/>
      <c r="L33" s="1"/>
      <c r="M33" s="58" t="s">
        <v>242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15">
      <c r="A34" s="1"/>
      <c r="B34" s="51"/>
      <c r="C34" s="43" t="s">
        <v>243</v>
      </c>
      <c r="E34" s="44" t="s">
        <v>244</v>
      </c>
      <c r="F34" s="1"/>
      <c r="G34" s="1"/>
      <c r="H34" s="1"/>
      <c r="I34" s="1"/>
      <c r="K34" s="1"/>
      <c r="L34" s="1"/>
      <c r="M34" s="47" t="s">
        <v>245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15">
      <c r="A35" s="1"/>
      <c r="B35" s="51"/>
      <c r="C35" s="1"/>
      <c r="E35" s="43" t="s">
        <v>246</v>
      </c>
      <c r="F35" s="1"/>
      <c r="G35" s="1"/>
      <c r="H35" s="1"/>
      <c r="I35" s="1"/>
      <c r="J35" s="1"/>
      <c r="K35" s="1"/>
      <c r="L35" s="1"/>
      <c r="M35" s="58" t="s">
        <v>247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15">
      <c r="A36" s="1"/>
      <c r="B36" s="36" t="s">
        <v>72</v>
      </c>
      <c r="C36" s="38" t="s">
        <v>51</v>
      </c>
      <c r="D36" s="39" t="s">
        <v>52</v>
      </c>
      <c r="E36" s="38" t="s">
        <v>53</v>
      </c>
      <c r="F36" s="38" t="s">
        <v>54</v>
      </c>
      <c r="G36" s="38" t="s">
        <v>55</v>
      </c>
      <c r="H36" s="37" t="s">
        <v>56</v>
      </c>
      <c r="I36" s="37" t="s">
        <v>57</v>
      </c>
      <c r="J36" s="37" t="s">
        <v>58</v>
      </c>
      <c r="K36" s="38" t="s">
        <v>59</v>
      </c>
      <c r="L36" s="38" t="s">
        <v>60</v>
      </c>
      <c r="M36" s="40" t="s">
        <v>61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15">
      <c r="A37" s="1"/>
      <c r="B37" s="41" t="s">
        <v>248</v>
      </c>
      <c r="C37" s="43" t="s">
        <v>249</v>
      </c>
      <c r="D37" s="45" t="s">
        <v>250</v>
      </c>
      <c r="E37" s="42" t="s">
        <v>251</v>
      </c>
      <c r="F37" s="43" t="s">
        <v>252</v>
      </c>
      <c r="G37" s="43" t="s">
        <v>253</v>
      </c>
      <c r="H37" s="43" t="s">
        <v>254</v>
      </c>
      <c r="I37" s="43" t="s">
        <v>255</v>
      </c>
      <c r="J37" s="45" t="s">
        <v>256</v>
      </c>
      <c r="K37" s="43" t="s">
        <v>257</v>
      </c>
      <c r="L37" s="42" t="s">
        <v>258</v>
      </c>
      <c r="M37" s="47" t="s">
        <v>259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15">
      <c r="A38" s="1"/>
      <c r="B38" s="48">
        <v>4231</v>
      </c>
      <c r="C38" s="43" t="s">
        <v>260</v>
      </c>
      <c r="D38" s="43" t="s">
        <v>261</v>
      </c>
      <c r="E38" s="42" t="s">
        <v>262</v>
      </c>
      <c r="G38" s="42" t="s">
        <v>263</v>
      </c>
      <c r="H38" s="42" t="s">
        <v>264</v>
      </c>
      <c r="I38" s="43" t="s">
        <v>265</v>
      </c>
      <c r="J38" s="43" t="s">
        <v>266</v>
      </c>
      <c r="K38" s="43" t="s">
        <v>267</v>
      </c>
      <c r="L38" s="43" t="s">
        <v>268</v>
      </c>
      <c r="M38" s="47" t="s">
        <v>269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15">
      <c r="A39" s="1"/>
      <c r="B39" s="51"/>
      <c r="C39" s="43" t="s">
        <v>270</v>
      </c>
      <c r="D39" s="1"/>
      <c r="E39" s="43" t="s">
        <v>271</v>
      </c>
      <c r="G39" s="1"/>
      <c r="H39" s="1"/>
      <c r="I39" s="1"/>
      <c r="J39" s="1"/>
      <c r="K39" s="1"/>
      <c r="L39" s="43" t="s">
        <v>272</v>
      </c>
      <c r="M39" s="59" t="s">
        <v>273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15">
      <c r="A40" s="1"/>
      <c r="B40" s="51"/>
      <c r="C40" s="43" t="s">
        <v>274</v>
      </c>
      <c r="D40" s="1"/>
      <c r="E40" s="1"/>
      <c r="F40" s="1"/>
      <c r="G40" s="1"/>
      <c r="H40" s="1"/>
      <c r="I40" s="1"/>
      <c r="J40" s="1"/>
      <c r="K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15">
      <c r="A41" s="1"/>
      <c r="B41" s="51"/>
      <c r="C41" s="46" t="s">
        <v>275</v>
      </c>
      <c r="D41" s="1"/>
      <c r="E41" s="1"/>
      <c r="F41" s="1"/>
      <c r="G41" s="1"/>
      <c r="H41" s="1"/>
      <c r="I41" s="1"/>
      <c r="J41" s="1"/>
      <c r="K41" s="1"/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15">
      <c r="A42" s="1"/>
      <c r="B42" s="36" t="s">
        <v>72</v>
      </c>
      <c r="C42" s="38" t="s">
        <v>51</v>
      </c>
      <c r="D42" s="38" t="s">
        <v>52</v>
      </c>
      <c r="E42" s="38" t="s">
        <v>53</v>
      </c>
      <c r="F42" s="38" t="s">
        <v>54</v>
      </c>
      <c r="G42" s="38" t="s">
        <v>55</v>
      </c>
      <c r="H42" s="37" t="s">
        <v>56</v>
      </c>
      <c r="I42" s="37" t="s">
        <v>57</v>
      </c>
      <c r="J42" s="38" t="s">
        <v>58</v>
      </c>
      <c r="K42" s="38" t="s">
        <v>59</v>
      </c>
      <c r="L42" s="38" t="s">
        <v>60</v>
      </c>
      <c r="M42" s="56" t="s">
        <v>61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15">
      <c r="A43" s="1"/>
      <c r="B43" s="41" t="s">
        <v>276</v>
      </c>
      <c r="C43" s="43" t="s">
        <v>277</v>
      </c>
      <c r="D43" s="43" t="s">
        <v>278</v>
      </c>
      <c r="E43" s="46" t="s">
        <v>279</v>
      </c>
      <c r="F43" s="43" t="s">
        <v>280</v>
      </c>
      <c r="G43" s="43" t="s">
        <v>281</v>
      </c>
      <c r="H43" s="43" t="s">
        <v>282</v>
      </c>
      <c r="I43" s="43" t="s">
        <v>267</v>
      </c>
      <c r="J43" s="43" t="s">
        <v>283</v>
      </c>
      <c r="K43" s="1"/>
      <c r="L43" s="1"/>
      <c r="M43" s="47" t="s">
        <v>284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15">
      <c r="A44" s="1"/>
      <c r="B44" s="48">
        <v>3421</v>
      </c>
      <c r="C44" s="43" t="s">
        <v>285</v>
      </c>
      <c r="D44" s="44" t="s">
        <v>286</v>
      </c>
      <c r="E44" s="43" t="s">
        <v>287</v>
      </c>
      <c r="G44" s="43" t="s">
        <v>288</v>
      </c>
      <c r="H44" s="43" t="s">
        <v>289</v>
      </c>
      <c r="I44" s="43" t="s">
        <v>290</v>
      </c>
      <c r="J44" s="49" t="s">
        <v>291</v>
      </c>
      <c r="K44" s="1"/>
      <c r="L44" s="1"/>
      <c r="M44" s="59" t="s">
        <v>292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15">
      <c r="A45" s="1"/>
      <c r="B45" s="51"/>
      <c r="C45" s="43" t="s">
        <v>293</v>
      </c>
      <c r="D45" s="43" t="s">
        <v>294</v>
      </c>
      <c r="E45" s="44" t="s">
        <v>295</v>
      </c>
      <c r="G45" s="43" t="s">
        <v>296</v>
      </c>
      <c r="H45" s="43" t="s">
        <v>297</v>
      </c>
      <c r="I45" s="1"/>
      <c r="J45" s="43" t="s">
        <v>298</v>
      </c>
      <c r="L45" s="1"/>
      <c r="M45" s="59" t="s">
        <v>299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15">
      <c r="A46" s="1"/>
      <c r="B46" s="51"/>
      <c r="C46" s="43" t="s">
        <v>300</v>
      </c>
      <c r="E46" s="43" t="s">
        <v>301</v>
      </c>
      <c r="G46" s="43" t="s">
        <v>302</v>
      </c>
      <c r="H46" s="1"/>
      <c r="I46" s="1"/>
      <c r="J46" s="45" t="s">
        <v>303</v>
      </c>
      <c r="L46" s="1"/>
      <c r="M46" s="47" t="s">
        <v>304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15">
      <c r="A47" s="1"/>
      <c r="B47" s="36" t="s">
        <v>72</v>
      </c>
      <c r="C47" s="38" t="s">
        <v>51</v>
      </c>
      <c r="D47" s="38" t="s">
        <v>52</v>
      </c>
      <c r="E47" s="39" t="s">
        <v>53</v>
      </c>
      <c r="F47" s="39" t="s">
        <v>54</v>
      </c>
      <c r="G47" s="38" t="s">
        <v>55</v>
      </c>
      <c r="H47" s="39" t="s">
        <v>56</v>
      </c>
      <c r="I47" s="39" t="s">
        <v>57</v>
      </c>
      <c r="J47" s="39" t="s">
        <v>58</v>
      </c>
      <c r="K47" s="39" t="s">
        <v>59</v>
      </c>
      <c r="L47" s="39" t="s">
        <v>60</v>
      </c>
      <c r="M47" s="64" t="s">
        <v>61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15">
      <c r="A48" s="1"/>
      <c r="B48" s="41" t="s">
        <v>305</v>
      </c>
      <c r="C48" s="43" t="s">
        <v>306</v>
      </c>
      <c r="D48" s="43" t="s">
        <v>307</v>
      </c>
      <c r="E48" s="46" t="s">
        <v>308</v>
      </c>
      <c r="F48" s="43" t="s">
        <v>309</v>
      </c>
      <c r="G48" s="43" t="s">
        <v>310</v>
      </c>
      <c r="H48" s="46" t="s">
        <v>311</v>
      </c>
      <c r="I48" s="44" t="s">
        <v>312</v>
      </c>
      <c r="J48" s="43" t="s">
        <v>267</v>
      </c>
      <c r="K48" s="1"/>
      <c r="L48" s="43"/>
      <c r="M48" s="44" t="s">
        <v>313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15">
      <c r="A49" s="1"/>
      <c r="B49" s="48">
        <v>3412</v>
      </c>
      <c r="C49" s="43" t="s">
        <v>314</v>
      </c>
      <c r="D49" s="43" t="s">
        <v>315</v>
      </c>
      <c r="E49" s="46" t="s">
        <v>316</v>
      </c>
      <c r="F49" s="43" t="s">
        <v>317</v>
      </c>
      <c r="G49" s="46" t="s">
        <v>318</v>
      </c>
      <c r="H49" s="43" t="s">
        <v>319</v>
      </c>
      <c r="I49" s="43" t="s">
        <v>320</v>
      </c>
      <c r="J49" s="43" t="s">
        <v>321</v>
      </c>
      <c r="K49" s="1"/>
      <c r="L49" s="43"/>
      <c r="M49" s="44" t="s">
        <v>322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15">
      <c r="A50" s="1"/>
      <c r="B50" s="51"/>
      <c r="C50" s="43" t="s">
        <v>323</v>
      </c>
      <c r="D50" s="1"/>
      <c r="E50" s="43" t="s">
        <v>324</v>
      </c>
      <c r="G50" s="1"/>
      <c r="H50" s="43"/>
      <c r="I50" s="43" t="s">
        <v>325</v>
      </c>
      <c r="J50" s="43" t="s">
        <v>326</v>
      </c>
      <c r="M50" s="50" t="s">
        <v>327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15">
      <c r="A51" s="1"/>
      <c r="B51" s="51"/>
      <c r="C51" s="1"/>
      <c r="D51" s="1"/>
      <c r="E51" s="1"/>
      <c r="F51" s="1"/>
      <c r="G51" s="1"/>
      <c r="H51" s="1"/>
      <c r="K51" s="1"/>
      <c r="L51" s="1"/>
      <c r="M51" s="47" t="s">
        <v>328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15">
      <c r="A52" s="1"/>
      <c r="B52" s="53"/>
      <c r="C52" s="54"/>
      <c r="D52" s="54"/>
      <c r="E52" s="54"/>
      <c r="F52" s="54"/>
      <c r="G52" s="54"/>
      <c r="H52" s="54"/>
      <c r="I52" s="1"/>
      <c r="J52" s="54"/>
      <c r="K52" s="54"/>
      <c r="L52" s="54"/>
      <c r="M52" s="49" t="s">
        <v>329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15">
      <c r="A53" s="1"/>
      <c r="B53" s="36" t="s">
        <v>72</v>
      </c>
      <c r="C53" s="39" t="s">
        <v>51</v>
      </c>
      <c r="D53" s="38" t="s">
        <v>52</v>
      </c>
      <c r="E53" s="39" t="s">
        <v>53</v>
      </c>
      <c r="F53" s="39" t="s">
        <v>54</v>
      </c>
      <c r="G53" s="38" t="s">
        <v>55</v>
      </c>
      <c r="H53" s="38" t="s">
        <v>56</v>
      </c>
      <c r="I53" s="39" t="s">
        <v>57</v>
      </c>
      <c r="J53" s="38" t="s">
        <v>58</v>
      </c>
      <c r="K53" s="39" t="s">
        <v>59</v>
      </c>
      <c r="L53" s="39" t="s">
        <v>60</v>
      </c>
      <c r="M53" s="64" t="s">
        <v>61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15">
      <c r="A54" s="1"/>
      <c r="B54" s="41" t="s">
        <v>330</v>
      </c>
      <c r="C54" s="42" t="s">
        <v>331</v>
      </c>
      <c r="D54" s="43" t="s">
        <v>332</v>
      </c>
      <c r="E54" s="46" t="s">
        <v>333</v>
      </c>
      <c r="F54" s="42" t="s">
        <v>334</v>
      </c>
      <c r="G54" s="45" t="s">
        <v>335</v>
      </c>
      <c r="H54" s="43" t="s">
        <v>336</v>
      </c>
      <c r="I54" s="46" t="s">
        <v>337</v>
      </c>
      <c r="J54" s="43" t="s">
        <v>338</v>
      </c>
      <c r="L54" s="43" t="s">
        <v>339</v>
      </c>
      <c r="M54" s="47" t="s">
        <v>340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15">
      <c r="A55" s="1"/>
      <c r="B55" s="48">
        <v>3412</v>
      </c>
      <c r="C55" s="43" t="s">
        <v>341</v>
      </c>
      <c r="D55" s="43" t="s">
        <v>342</v>
      </c>
      <c r="E55" s="43" t="s">
        <v>343</v>
      </c>
      <c r="F55" s="43" t="s">
        <v>344</v>
      </c>
      <c r="G55" s="46" t="s">
        <v>345</v>
      </c>
      <c r="H55" s="46" t="s">
        <v>157</v>
      </c>
      <c r="I55" s="43" t="s">
        <v>346</v>
      </c>
      <c r="J55" s="43" t="s">
        <v>347</v>
      </c>
      <c r="K55" s="1"/>
      <c r="M55" s="59" t="s">
        <v>348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15">
      <c r="A56" s="1"/>
      <c r="B56" s="51"/>
      <c r="C56" s="43" t="s">
        <v>349</v>
      </c>
      <c r="D56" s="1"/>
      <c r="E56" s="43" t="s">
        <v>350</v>
      </c>
      <c r="F56" s="43" t="s">
        <v>351</v>
      </c>
      <c r="G56" s="1"/>
      <c r="H56" s="46" t="s">
        <v>352</v>
      </c>
      <c r="I56" s="43" t="s">
        <v>353</v>
      </c>
      <c r="J56" s="43" t="s">
        <v>354</v>
      </c>
      <c r="L56" s="1"/>
      <c r="M56" s="47" t="s">
        <v>355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15">
      <c r="A57" s="1"/>
      <c r="B57" s="51"/>
      <c r="C57" s="43" t="s">
        <v>356</v>
      </c>
      <c r="E57" s="1"/>
      <c r="F57" s="1"/>
      <c r="G57" s="1"/>
      <c r="I57" s="43"/>
      <c r="K57" s="1"/>
      <c r="M57" s="43" t="s">
        <v>357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15">
      <c r="A58" s="1"/>
      <c r="B58" s="53"/>
      <c r="C58" s="55"/>
      <c r="D58" s="54"/>
      <c r="E58" s="54"/>
      <c r="F58" s="54"/>
      <c r="G58" s="54"/>
      <c r="I58" s="55"/>
      <c r="J58" s="43"/>
      <c r="K58" s="54"/>
      <c r="L58" s="54"/>
      <c r="M58" s="43" t="s">
        <v>358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15">
      <c r="A59" s="1"/>
      <c r="B59" s="36" t="s">
        <v>72</v>
      </c>
      <c r="C59" s="39" t="s">
        <v>51</v>
      </c>
      <c r="D59" s="39" t="s">
        <v>52</v>
      </c>
      <c r="E59" s="39" t="s">
        <v>53</v>
      </c>
      <c r="F59" s="39" t="s">
        <v>54</v>
      </c>
      <c r="G59" s="39" t="s">
        <v>55</v>
      </c>
      <c r="H59" s="39" t="s">
        <v>56</v>
      </c>
      <c r="I59" s="39" t="s">
        <v>57</v>
      </c>
      <c r="J59" s="39" t="s">
        <v>58</v>
      </c>
      <c r="K59" s="39" t="s">
        <v>59</v>
      </c>
      <c r="L59" s="39" t="s">
        <v>60</v>
      </c>
      <c r="M59" s="64" t="s">
        <v>61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15">
      <c r="A60" s="1"/>
      <c r="B60" s="41" t="s">
        <v>359</v>
      </c>
      <c r="C60" s="42" t="s">
        <v>360</v>
      </c>
      <c r="D60" s="46" t="s">
        <v>361</v>
      </c>
      <c r="E60" s="43" t="s">
        <v>362</v>
      </c>
      <c r="F60" s="43" t="s">
        <v>363</v>
      </c>
      <c r="G60" s="43" t="s">
        <v>364</v>
      </c>
      <c r="H60" s="44" t="s">
        <v>365</v>
      </c>
      <c r="I60" s="43" t="s">
        <v>366</v>
      </c>
      <c r="J60" s="46" t="s">
        <v>367</v>
      </c>
      <c r="K60" s="45" t="s">
        <v>368</v>
      </c>
      <c r="L60" s="43" t="s">
        <v>369</v>
      </c>
      <c r="M60" s="47" t="s">
        <v>370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15">
      <c r="A61" s="1"/>
      <c r="B61" s="48">
        <v>3421</v>
      </c>
      <c r="C61" s="46" t="s">
        <v>371</v>
      </c>
      <c r="D61" s="43" t="s">
        <v>372</v>
      </c>
      <c r="E61" s="43" t="s">
        <v>373</v>
      </c>
      <c r="F61" s="43" t="s">
        <v>374</v>
      </c>
      <c r="G61" s="1"/>
      <c r="H61" s="43" t="s">
        <v>375</v>
      </c>
      <c r="I61" s="43" t="s">
        <v>376</v>
      </c>
      <c r="J61" s="46" t="s">
        <v>377</v>
      </c>
      <c r="K61" s="1"/>
      <c r="L61" s="43" t="s">
        <v>378</v>
      </c>
      <c r="M61" s="58" t="s">
        <v>379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15">
      <c r="A62" s="1"/>
      <c r="B62" s="51"/>
      <c r="C62" s="43" t="s">
        <v>380</v>
      </c>
      <c r="D62" s="43" t="s">
        <v>381</v>
      </c>
      <c r="E62" s="45" t="s">
        <v>382</v>
      </c>
      <c r="G62" s="1"/>
      <c r="H62" s="43" t="s">
        <v>383</v>
      </c>
      <c r="I62" s="1"/>
      <c r="L62" s="1"/>
      <c r="M62" s="47" t="s">
        <v>384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15">
      <c r="A63" s="1"/>
      <c r="B63" s="51"/>
      <c r="C63" s="43" t="s">
        <v>385</v>
      </c>
      <c r="E63" s="43" t="s">
        <v>386</v>
      </c>
      <c r="F63" s="1"/>
      <c r="G63" s="1"/>
      <c r="H63" s="1"/>
      <c r="I63" s="1"/>
      <c r="J63" s="1"/>
      <c r="L63" s="1"/>
      <c r="M63" s="50" t="s">
        <v>387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15">
      <c r="A64" s="1"/>
      <c r="B64" s="36" t="s">
        <v>72</v>
      </c>
      <c r="C64" s="37" t="s">
        <v>51</v>
      </c>
      <c r="D64" s="37" t="s">
        <v>52</v>
      </c>
      <c r="E64" s="38" t="s">
        <v>53</v>
      </c>
      <c r="F64" s="38" t="s">
        <v>54</v>
      </c>
      <c r="G64" s="38" t="s">
        <v>55</v>
      </c>
      <c r="H64" s="37" t="s">
        <v>56</v>
      </c>
      <c r="I64" s="37" t="s">
        <v>57</v>
      </c>
      <c r="J64" s="38" t="s">
        <v>58</v>
      </c>
      <c r="K64" s="37" t="s">
        <v>59</v>
      </c>
      <c r="L64" s="38" t="s">
        <v>60</v>
      </c>
      <c r="M64" s="56" t="s">
        <v>61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15">
      <c r="A65" s="1"/>
      <c r="B65" s="41" t="s">
        <v>388</v>
      </c>
      <c r="C65" s="42" t="s">
        <v>389</v>
      </c>
      <c r="D65" s="42" t="s">
        <v>390</v>
      </c>
      <c r="E65" s="43" t="s">
        <v>391</v>
      </c>
      <c r="F65" s="43" t="s">
        <v>392</v>
      </c>
      <c r="G65" s="43" t="s">
        <v>393</v>
      </c>
      <c r="H65" s="43" t="s">
        <v>394</v>
      </c>
      <c r="I65" s="42" t="s">
        <v>395</v>
      </c>
      <c r="J65" s="46" t="s">
        <v>396</v>
      </c>
      <c r="K65" s="44" t="s">
        <v>397</v>
      </c>
      <c r="L65" s="43" t="s">
        <v>398</v>
      </c>
      <c r="M65" s="65" t="s">
        <v>399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x14ac:dyDescent="0.15">
      <c r="A66" s="1"/>
      <c r="B66" s="48">
        <v>4231</v>
      </c>
      <c r="C66" s="46" t="s">
        <v>400</v>
      </c>
      <c r="D66" s="1"/>
      <c r="E66" s="43" t="s">
        <v>401</v>
      </c>
      <c r="F66" s="44" t="s">
        <v>402</v>
      </c>
      <c r="G66" s="46" t="s">
        <v>403</v>
      </c>
      <c r="H66" s="43" t="s">
        <v>404</v>
      </c>
      <c r="I66" s="43" t="s">
        <v>405</v>
      </c>
      <c r="J66" s="43" t="s">
        <v>406</v>
      </c>
      <c r="L66" s="43" t="s">
        <v>407</v>
      </c>
      <c r="M66" s="47" t="s">
        <v>408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x14ac:dyDescent="0.15">
      <c r="A67" s="1"/>
      <c r="B67" s="51"/>
      <c r="C67" s="43" t="s">
        <v>409</v>
      </c>
      <c r="D67" s="1"/>
      <c r="E67" s="43" t="s">
        <v>410</v>
      </c>
      <c r="F67" s="1"/>
      <c r="G67" s="43"/>
      <c r="H67" s="1"/>
      <c r="I67" s="1"/>
      <c r="J67" s="43" t="s">
        <v>411</v>
      </c>
      <c r="K67" s="1"/>
      <c r="L67" s="1"/>
      <c r="M67" s="43" t="s">
        <v>412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x14ac:dyDescent="0.15">
      <c r="A68" s="1"/>
      <c r="B68" s="51"/>
      <c r="C68" s="1"/>
      <c r="D68" s="1"/>
      <c r="E68" s="46" t="s">
        <v>413</v>
      </c>
      <c r="G68" s="1"/>
      <c r="H68" s="1"/>
      <c r="I68" s="1"/>
      <c r="J68" s="43" t="s">
        <v>414</v>
      </c>
      <c r="L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x14ac:dyDescent="0.15">
      <c r="A69" s="1"/>
      <c r="B69" s="36" t="s">
        <v>72</v>
      </c>
      <c r="C69" s="38" t="s">
        <v>51</v>
      </c>
      <c r="D69" s="38" t="s">
        <v>52</v>
      </c>
      <c r="E69" s="38" t="s">
        <v>53</v>
      </c>
      <c r="F69" s="38" t="s">
        <v>54</v>
      </c>
      <c r="G69" s="37" t="s">
        <v>55</v>
      </c>
      <c r="H69" s="39" t="s">
        <v>56</v>
      </c>
      <c r="I69" s="38" t="s">
        <v>57</v>
      </c>
      <c r="J69" s="37" t="s">
        <v>58</v>
      </c>
      <c r="K69" s="37" t="s">
        <v>59</v>
      </c>
      <c r="L69" s="37" t="s">
        <v>60</v>
      </c>
      <c r="M69" s="56" t="s">
        <v>61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x14ac:dyDescent="0.15">
      <c r="A70" s="1"/>
      <c r="B70" s="41" t="s">
        <v>415</v>
      </c>
      <c r="C70" s="42" t="s">
        <v>416</v>
      </c>
      <c r="D70" s="42" t="s">
        <v>417</v>
      </c>
      <c r="E70" s="42" t="s">
        <v>418</v>
      </c>
      <c r="F70" s="43" t="s">
        <v>419</v>
      </c>
      <c r="G70" s="43" t="s">
        <v>420</v>
      </c>
      <c r="H70" s="43" t="s">
        <v>421</v>
      </c>
      <c r="I70" s="43" t="s">
        <v>422</v>
      </c>
      <c r="J70" s="45" t="s">
        <v>423</v>
      </c>
      <c r="K70" s="43" t="s">
        <v>424</v>
      </c>
      <c r="L70" s="42" t="s">
        <v>425</v>
      </c>
      <c r="M70" s="59" t="s">
        <v>426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x14ac:dyDescent="0.15">
      <c r="A71" s="1"/>
      <c r="B71" s="48">
        <v>4231</v>
      </c>
      <c r="C71" s="43" t="s">
        <v>427</v>
      </c>
      <c r="D71" s="42" t="s">
        <v>428</v>
      </c>
      <c r="E71" s="43" t="s">
        <v>429</v>
      </c>
      <c r="F71" s="1"/>
      <c r="G71" s="43" t="s">
        <v>430</v>
      </c>
      <c r="H71" s="43"/>
      <c r="I71" s="43" t="s">
        <v>431</v>
      </c>
      <c r="J71" s="43" t="s">
        <v>432</v>
      </c>
      <c r="L71" s="1"/>
      <c r="M71" s="59" t="s">
        <v>433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x14ac:dyDescent="0.15">
      <c r="A72" s="1"/>
      <c r="B72" s="51"/>
      <c r="C72" s="43" t="s">
        <v>434</v>
      </c>
      <c r="D72" s="43" t="s">
        <v>435</v>
      </c>
      <c r="E72" s="43" t="s">
        <v>436</v>
      </c>
      <c r="G72" s="46" t="s">
        <v>437</v>
      </c>
      <c r="I72" s="46" t="s">
        <v>438</v>
      </c>
      <c r="K72" s="1"/>
      <c r="M72" s="43" t="s">
        <v>439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x14ac:dyDescent="0.15">
      <c r="A73" s="1"/>
      <c r="C73" s="46" t="s">
        <v>440</v>
      </c>
      <c r="E73" s="43" t="s">
        <v>441</v>
      </c>
      <c r="G73" s="46" t="s">
        <v>442</v>
      </c>
      <c r="H73" s="1"/>
      <c r="I73" s="46" t="s">
        <v>443</v>
      </c>
      <c r="K73" s="1"/>
      <c r="M73" s="42" t="s">
        <v>444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x14ac:dyDescent="0.15">
      <c r="A74" s="1"/>
      <c r="B74" s="53"/>
      <c r="C74" s="54"/>
      <c r="D74" s="54"/>
      <c r="E74" s="43"/>
      <c r="F74" s="54"/>
      <c r="G74" s="46" t="s">
        <v>445</v>
      </c>
      <c r="H74" s="54"/>
      <c r="I74" s="1"/>
      <c r="J74" s="54"/>
      <c r="K74" s="54"/>
      <c r="L74" s="54"/>
      <c r="M74" s="45" t="s">
        <v>446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x14ac:dyDescent="0.15">
      <c r="A75" s="1"/>
      <c r="B75" s="36" t="s">
        <v>72</v>
      </c>
      <c r="C75" s="39" t="s">
        <v>51</v>
      </c>
      <c r="D75" s="38" t="s">
        <v>52</v>
      </c>
      <c r="E75" s="38" t="s">
        <v>53</v>
      </c>
      <c r="F75" s="38" t="s">
        <v>54</v>
      </c>
      <c r="G75" s="38" t="s">
        <v>55</v>
      </c>
      <c r="H75" s="38" t="s">
        <v>56</v>
      </c>
      <c r="I75" s="38" t="s">
        <v>57</v>
      </c>
      <c r="J75" s="38" t="s">
        <v>58</v>
      </c>
      <c r="K75" s="38" t="s">
        <v>59</v>
      </c>
      <c r="L75" s="38" t="s">
        <v>60</v>
      </c>
      <c r="M75" s="40" t="s">
        <v>61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x14ac:dyDescent="0.15">
      <c r="A76" s="1"/>
      <c r="B76" s="41" t="s">
        <v>447</v>
      </c>
      <c r="C76" s="42" t="s">
        <v>448</v>
      </c>
      <c r="D76" s="42" t="s">
        <v>449</v>
      </c>
      <c r="E76" s="42" t="s">
        <v>450</v>
      </c>
      <c r="F76" s="43" t="s">
        <v>451</v>
      </c>
      <c r="G76" s="43" t="s">
        <v>452</v>
      </c>
      <c r="H76" s="42" t="s">
        <v>453</v>
      </c>
      <c r="I76" s="43" t="s">
        <v>454</v>
      </c>
      <c r="J76" s="42" t="s">
        <v>455</v>
      </c>
      <c r="K76" s="1"/>
      <c r="L76" s="1"/>
      <c r="M76" s="59" t="s">
        <v>456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x14ac:dyDescent="0.15">
      <c r="A77" s="1"/>
      <c r="B77" s="48">
        <v>3412</v>
      </c>
      <c r="C77" s="43" t="s">
        <v>457</v>
      </c>
      <c r="D77" s="43" t="s">
        <v>458</v>
      </c>
      <c r="E77" s="46" t="s">
        <v>459</v>
      </c>
      <c r="F77" s="1"/>
      <c r="G77" s="43" t="s">
        <v>460</v>
      </c>
      <c r="H77" s="50" t="s">
        <v>461</v>
      </c>
      <c r="I77" s="43" t="s">
        <v>462</v>
      </c>
      <c r="J77" s="43"/>
      <c r="K77" s="1"/>
      <c r="L77" s="1"/>
      <c r="M77" s="47" t="s">
        <v>463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x14ac:dyDescent="0.15">
      <c r="A78" s="1"/>
      <c r="B78" s="51"/>
      <c r="C78" s="43" t="s">
        <v>464</v>
      </c>
      <c r="D78" s="46" t="s">
        <v>465</v>
      </c>
      <c r="E78" s="43" t="s">
        <v>466</v>
      </c>
      <c r="F78" s="1"/>
      <c r="G78" s="1"/>
      <c r="I78" s="43" t="s">
        <v>467</v>
      </c>
      <c r="J78" s="1"/>
      <c r="L78" s="1"/>
      <c r="M78" s="42" t="s">
        <v>468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15">
      <c r="A79" s="1"/>
      <c r="B79" s="51"/>
      <c r="C79" s="46" t="s">
        <v>469</v>
      </c>
      <c r="D79" s="1"/>
      <c r="E79" s="43" t="s">
        <v>470</v>
      </c>
      <c r="F79" s="1"/>
      <c r="G79" s="1"/>
      <c r="H79" s="1"/>
      <c r="I79" s="1"/>
      <c r="J79" s="1"/>
      <c r="M79" s="43" t="s">
        <v>471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x14ac:dyDescent="0.15">
      <c r="A80" s="1"/>
      <c r="B80" s="51"/>
      <c r="C80" s="1"/>
      <c r="D80" s="1"/>
      <c r="E80" s="43" t="s">
        <v>472</v>
      </c>
      <c r="F80" s="1"/>
      <c r="G80" s="1"/>
      <c r="H80" s="1"/>
      <c r="I80" s="1"/>
      <c r="J80" s="1"/>
      <c r="K80" s="1"/>
      <c r="L80" s="1"/>
      <c r="M80" s="47" t="s">
        <v>473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x14ac:dyDescent="0.15">
      <c r="A81" s="1"/>
      <c r="B81" s="51"/>
      <c r="C81" s="1"/>
      <c r="D81" s="1"/>
      <c r="E81" s="1"/>
      <c r="F81" s="1"/>
      <c r="G81" s="1"/>
      <c r="H81" s="1"/>
      <c r="I81" s="1"/>
      <c r="J81" s="1"/>
      <c r="K81" s="1"/>
      <c r="L81" s="1"/>
      <c r="M81" s="43" t="s">
        <v>474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x14ac:dyDescent="0.15">
      <c r="A82" s="1"/>
      <c r="B82" s="36" t="s">
        <v>72</v>
      </c>
      <c r="C82" s="38" t="s">
        <v>51</v>
      </c>
      <c r="D82" s="38" t="s">
        <v>52</v>
      </c>
      <c r="E82" s="38" t="s">
        <v>53</v>
      </c>
      <c r="F82" s="38" t="s">
        <v>54</v>
      </c>
      <c r="G82" s="37" t="s">
        <v>55</v>
      </c>
      <c r="H82" s="37" t="s">
        <v>56</v>
      </c>
      <c r="I82" s="37" t="s">
        <v>57</v>
      </c>
      <c r="J82" s="37" t="s">
        <v>58</v>
      </c>
      <c r="K82" s="37" t="s">
        <v>59</v>
      </c>
      <c r="L82" s="37" t="s">
        <v>60</v>
      </c>
      <c r="M82" s="56" t="s">
        <v>61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x14ac:dyDescent="0.15">
      <c r="A83" s="1"/>
      <c r="B83" s="41" t="s">
        <v>475</v>
      </c>
      <c r="C83" s="43" t="s">
        <v>476</v>
      </c>
      <c r="D83" s="42" t="s">
        <v>477</v>
      </c>
      <c r="E83" s="42" t="s">
        <v>478</v>
      </c>
      <c r="F83" s="44" t="s">
        <v>479</v>
      </c>
      <c r="G83" s="43" t="s">
        <v>480</v>
      </c>
      <c r="H83" s="42" t="s">
        <v>481</v>
      </c>
      <c r="I83" s="43" t="s">
        <v>482</v>
      </c>
      <c r="J83" s="42" t="s">
        <v>483</v>
      </c>
      <c r="K83" s="46" t="s">
        <v>484</v>
      </c>
      <c r="L83" s="42" t="s">
        <v>485</v>
      </c>
      <c r="M83" s="59" t="s">
        <v>486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15">
      <c r="A84" s="1"/>
      <c r="B84" s="48">
        <v>4231</v>
      </c>
      <c r="C84" s="46" t="s">
        <v>487</v>
      </c>
      <c r="D84" s="43" t="s">
        <v>488</v>
      </c>
      <c r="E84" s="43" t="s">
        <v>489</v>
      </c>
      <c r="F84" s="1"/>
      <c r="G84" s="1"/>
      <c r="H84" s="46" t="s">
        <v>490</v>
      </c>
      <c r="I84" s="46" t="s">
        <v>491</v>
      </c>
      <c r="J84" s="43"/>
      <c r="K84" s="43" t="s">
        <v>492</v>
      </c>
      <c r="L84" s="43" t="s">
        <v>493</v>
      </c>
      <c r="M84" s="47" t="s">
        <v>494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x14ac:dyDescent="0.15">
      <c r="A85" s="1"/>
      <c r="B85" s="51"/>
      <c r="C85" s="43" t="s">
        <v>495</v>
      </c>
      <c r="D85" s="1"/>
      <c r="E85" s="43" t="s">
        <v>496</v>
      </c>
      <c r="G85" s="1"/>
      <c r="I85" s="46" t="s">
        <v>497</v>
      </c>
      <c r="L85" s="1"/>
      <c r="M85" s="46" t="s">
        <v>498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x14ac:dyDescent="0.15">
      <c r="A86" s="1"/>
      <c r="B86" s="51"/>
      <c r="C86" s="1"/>
      <c r="D86" s="1"/>
      <c r="E86" s="46" t="s">
        <v>499</v>
      </c>
      <c r="F86" s="1"/>
      <c r="G86" s="1"/>
      <c r="H86" s="1"/>
      <c r="I86" s="43" t="s">
        <v>500</v>
      </c>
      <c r="L86" s="1"/>
      <c r="M86" s="65" t="s">
        <v>501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x14ac:dyDescent="0.15">
      <c r="A87" s="1"/>
      <c r="B87" s="51"/>
      <c r="C87" s="1"/>
      <c r="D87" s="1"/>
      <c r="E87" s="46" t="s">
        <v>502</v>
      </c>
      <c r="F87" s="1"/>
      <c r="G87" s="1"/>
      <c r="H87" s="1"/>
      <c r="I87" s="1"/>
      <c r="K87" s="1"/>
      <c r="L87" s="1"/>
      <c r="M87" s="44" t="s">
        <v>503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x14ac:dyDescent="0.15">
      <c r="A88" s="1"/>
      <c r="B88" s="53"/>
      <c r="C88" s="54"/>
      <c r="D88" s="54"/>
      <c r="E88" s="55" t="s">
        <v>504</v>
      </c>
      <c r="F88" s="54"/>
      <c r="G88" s="54"/>
      <c r="H88" s="54"/>
      <c r="I88" s="54"/>
      <c r="J88" s="54"/>
      <c r="K88" s="54"/>
      <c r="L88" s="5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x14ac:dyDescent="0.15">
      <c r="A89" s="1"/>
      <c r="B89" s="36" t="s">
        <v>72</v>
      </c>
      <c r="C89" s="38" t="s">
        <v>51</v>
      </c>
      <c r="D89" s="38" t="s">
        <v>52</v>
      </c>
      <c r="E89" s="38" t="s">
        <v>53</v>
      </c>
      <c r="F89" s="38" t="s">
        <v>54</v>
      </c>
      <c r="G89" s="37" t="s">
        <v>55</v>
      </c>
      <c r="H89" s="37" t="s">
        <v>56</v>
      </c>
      <c r="I89" s="38" t="s">
        <v>57</v>
      </c>
      <c r="J89" s="38" t="s">
        <v>58</v>
      </c>
      <c r="K89" s="38" t="s">
        <v>59</v>
      </c>
      <c r="L89" s="38" t="s">
        <v>60</v>
      </c>
      <c r="M89" s="40" t="s">
        <v>61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x14ac:dyDescent="0.15">
      <c r="A90" s="1"/>
      <c r="B90" s="41" t="s">
        <v>505</v>
      </c>
      <c r="C90" s="43" t="s">
        <v>506</v>
      </c>
      <c r="D90" s="50" t="s">
        <v>507</v>
      </c>
      <c r="E90" s="43" t="s">
        <v>508</v>
      </c>
      <c r="F90" s="43" t="s">
        <v>509</v>
      </c>
      <c r="G90" s="43" t="s">
        <v>510</v>
      </c>
      <c r="H90" s="50" t="s">
        <v>511</v>
      </c>
      <c r="I90" s="43" t="s">
        <v>512</v>
      </c>
      <c r="J90" s="42" t="s">
        <v>513</v>
      </c>
      <c r="K90" s="46" t="s">
        <v>514</v>
      </c>
      <c r="L90" s="43" t="s">
        <v>515</v>
      </c>
      <c r="M90" s="50" t="s">
        <v>516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x14ac:dyDescent="0.15">
      <c r="A91" s="1"/>
      <c r="B91" s="51">
        <v>4231</v>
      </c>
      <c r="C91" s="46" t="s">
        <v>517</v>
      </c>
      <c r="D91" s="43" t="s">
        <v>518</v>
      </c>
      <c r="E91" s="42" t="s">
        <v>519</v>
      </c>
      <c r="F91" s="46" t="s">
        <v>520</v>
      </c>
      <c r="G91" s="44" t="s">
        <v>521</v>
      </c>
      <c r="H91" s="43" t="s">
        <v>522</v>
      </c>
      <c r="I91" s="43" t="s">
        <v>523</v>
      </c>
      <c r="J91" s="43" t="s">
        <v>524</v>
      </c>
      <c r="K91" s="43" t="s">
        <v>525</v>
      </c>
      <c r="L91" s="44" t="s">
        <v>526</v>
      </c>
      <c r="M91" s="58" t="s">
        <v>527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x14ac:dyDescent="0.15">
      <c r="A92" s="1"/>
      <c r="B92" s="51"/>
      <c r="C92" s="43" t="s">
        <v>528</v>
      </c>
      <c r="D92" s="43"/>
      <c r="E92" s="43" t="s">
        <v>529</v>
      </c>
      <c r="F92" s="43" t="s">
        <v>530</v>
      </c>
      <c r="G92" s="43"/>
      <c r="H92" s="43"/>
      <c r="I92" s="46" t="s">
        <v>531</v>
      </c>
      <c r="K92" s="50" t="s">
        <v>532</v>
      </c>
      <c r="L92" s="43"/>
      <c r="M92" s="47" t="s">
        <v>533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x14ac:dyDescent="0.15">
      <c r="A93" s="1"/>
      <c r="B93" s="51"/>
      <c r="D93" s="43"/>
      <c r="E93" s="43"/>
      <c r="F93" s="43"/>
      <c r="G93" s="43"/>
      <c r="H93" s="43"/>
      <c r="I93" s="43" t="s">
        <v>534</v>
      </c>
      <c r="L93" s="43"/>
      <c r="M93" s="47" t="s">
        <v>535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x14ac:dyDescent="0.15">
      <c r="A94" s="1"/>
      <c r="B94" s="53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6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x14ac:dyDescent="0.15">
      <c r="A96" s="1"/>
      <c r="B96" s="35" t="s">
        <v>536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x14ac:dyDescent="0.15">
      <c r="A97" s="1"/>
      <c r="B97" s="67" t="s">
        <v>537</v>
      </c>
      <c r="C97" s="1" t="s">
        <v>538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x14ac:dyDescent="0.15">
      <c r="A98" s="1"/>
      <c r="B98" s="68" t="s">
        <v>539</v>
      </c>
      <c r="C98" s="1" t="s">
        <v>540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x14ac:dyDescent="0.15">
      <c r="A99" s="1"/>
      <c r="B99" s="69" t="s">
        <v>541</v>
      </c>
      <c r="C99" s="1" t="s">
        <v>542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x14ac:dyDescent="0.15">
      <c r="A100" s="1"/>
      <c r="B100" s="70" t="s">
        <v>543</v>
      </c>
      <c r="C100" s="1" t="s">
        <v>544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x14ac:dyDescent="0.15">
      <c r="A101" s="1"/>
      <c r="B101" s="71" t="s">
        <v>545</v>
      </c>
      <c r="C101" s="1" t="s">
        <v>546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x14ac:dyDescent="0.15">
      <c r="A102" s="1"/>
      <c r="B102" s="72" t="s">
        <v>547</v>
      </c>
      <c r="C102" s="1" t="s">
        <v>548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8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15.1640625" customWidth="1"/>
    <col min="2" max="2" width="22.1640625" customWidth="1"/>
    <col min="4" max="4" width="18.83203125" customWidth="1"/>
    <col min="5" max="5" width="15.6640625" customWidth="1"/>
    <col min="6" max="6" width="57.1640625" customWidth="1"/>
    <col min="7" max="7" width="16.1640625" customWidth="1"/>
    <col min="8" max="8" width="17" customWidth="1"/>
    <col min="9" max="10" width="15.6640625" customWidth="1"/>
    <col min="11" max="11" width="18.5" customWidth="1"/>
    <col min="12" max="12" width="59" customWidth="1"/>
  </cols>
  <sheetData>
    <row r="1" spans="1:12" ht="22.5" customHeight="1" x14ac:dyDescent="0.15">
      <c r="A1" s="33" t="s">
        <v>549</v>
      </c>
      <c r="B1" s="73" t="s">
        <v>50</v>
      </c>
      <c r="C1" s="73" t="s">
        <v>550</v>
      </c>
      <c r="D1" s="73" t="s">
        <v>551</v>
      </c>
      <c r="E1" s="74" t="s">
        <v>552</v>
      </c>
      <c r="F1" s="73" t="s">
        <v>553</v>
      </c>
      <c r="G1" s="75" t="s">
        <v>554</v>
      </c>
      <c r="H1" s="75" t="s">
        <v>555</v>
      </c>
      <c r="I1" s="74" t="s">
        <v>556</v>
      </c>
      <c r="J1" s="73" t="s">
        <v>557</v>
      </c>
      <c r="K1" s="74" t="s">
        <v>558</v>
      </c>
      <c r="L1" s="73" t="s">
        <v>559</v>
      </c>
    </row>
    <row r="2" spans="1:12" ht="22.5" customHeight="1" x14ac:dyDescent="0.15">
      <c r="A2" s="76">
        <v>46114</v>
      </c>
      <c r="B2" s="7" t="s">
        <v>11</v>
      </c>
      <c r="C2" s="7" t="s">
        <v>12</v>
      </c>
      <c r="D2" s="77" t="s">
        <v>560</v>
      </c>
      <c r="E2" s="78" t="s">
        <v>561</v>
      </c>
      <c r="F2" s="7"/>
      <c r="G2" s="79">
        <v>2500000</v>
      </c>
      <c r="H2" s="20"/>
      <c r="I2" s="78" t="s">
        <v>562</v>
      </c>
      <c r="J2" s="78" t="s">
        <v>563</v>
      </c>
      <c r="K2" s="7" t="s">
        <v>14</v>
      </c>
      <c r="L2" s="80"/>
    </row>
    <row r="3" spans="1:12" ht="22.5" customHeight="1" x14ac:dyDescent="0.15">
      <c r="A3" s="76">
        <v>46114</v>
      </c>
      <c r="B3" s="7" t="s">
        <v>11</v>
      </c>
      <c r="C3" s="7" t="s">
        <v>12</v>
      </c>
      <c r="D3" s="77" t="s">
        <v>564</v>
      </c>
      <c r="E3" s="78" t="s">
        <v>561</v>
      </c>
      <c r="F3" s="7"/>
      <c r="G3" s="79">
        <v>2500000</v>
      </c>
      <c r="H3" s="20"/>
      <c r="I3" s="78" t="s">
        <v>562</v>
      </c>
      <c r="J3" s="78" t="s">
        <v>563</v>
      </c>
      <c r="K3" s="7" t="s">
        <v>14</v>
      </c>
      <c r="L3" s="80"/>
    </row>
    <row r="4" spans="1:12" ht="22.5" customHeight="1" x14ac:dyDescent="0.15">
      <c r="A4" s="76">
        <v>46114</v>
      </c>
      <c r="B4" s="7" t="s">
        <v>11</v>
      </c>
      <c r="C4" s="7" t="s">
        <v>12</v>
      </c>
      <c r="D4" s="77" t="s">
        <v>565</v>
      </c>
      <c r="E4" s="78" t="s">
        <v>566</v>
      </c>
      <c r="F4" s="7"/>
      <c r="G4" s="79">
        <v>2500000</v>
      </c>
      <c r="H4" s="20"/>
      <c r="I4" s="78" t="s">
        <v>562</v>
      </c>
      <c r="J4" s="78" t="s">
        <v>563</v>
      </c>
      <c r="K4" s="7" t="s">
        <v>14</v>
      </c>
      <c r="L4" s="80"/>
    </row>
    <row r="5" spans="1:12" ht="22.5" customHeight="1" x14ac:dyDescent="0.15">
      <c r="A5" s="76">
        <v>46114</v>
      </c>
      <c r="B5" s="7" t="s">
        <v>11</v>
      </c>
      <c r="C5" s="7" t="s">
        <v>12</v>
      </c>
      <c r="D5" s="77" t="s">
        <v>567</v>
      </c>
      <c r="E5" s="78" t="s">
        <v>561</v>
      </c>
      <c r="F5" s="7"/>
      <c r="G5" s="79">
        <v>2500000</v>
      </c>
      <c r="H5" s="81"/>
      <c r="I5" s="78" t="s">
        <v>562</v>
      </c>
      <c r="J5" s="78" t="s">
        <v>563</v>
      </c>
      <c r="K5" s="7" t="s">
        <v>14</v>
      </c>
      <c r="L5" s="80" t="s">
        <v>568</v>
      </c>
    </row>
    <row r="6" spans="1:12" ht="22.5" customHeight="1" x14ac:dyDescent="0.15">
      <c r="A6" s="76">
        <v>46114</v>
      </c>
      <c r="B6" s="7" t="s">
        <v>11</v>
      </c>
      <c r="C6" s="7" t="s">
        <v>12</v>
      </c>
      <c r="D6" s="77" t="s">
        <v>569</v>
      </c>
      <c r="E6" s="78" t="s">
        <v>566</v>
      </c>
      <c r="F6" s="7"/>
      <c r="G6" s="82">
        <v>2500000</v>
      </c>
      <c r="H6" s="82"/>
      <c r="I6" s="78" t="s">
        <v>562</v>
      </c>
      <c r="J6" s="78" t="s">
        <v>563</v>
      </c>
      <c r="K6" s="7" t="s">
        <v>14</v>
      </c>
      <c r="L6" s="80"/>
    </row>
    <row r="7" spans="1:12" ht="22.5" customHeight="1" x14ac:dyDescent="0.15">
      <c r="A7" s="76">
        <v>46123</v>
      </c>
      <c r="B7" s="7" t="s">
        <v>15</v>
      </c>
      <c r="C7" s="7" t="s">
        <v>12</v>
      </c>
      <c r="D7" s="77" t="s">
        <v>570</v>
      </c>
      <c r="E7" s="78" t="s">
        <v>566</v>
      </c>
      <c r="F7" s="7"/>
      <c r="G7" s="82">
        <v>9500000</v>
      </c>
      <c r="H7" s="82"/>
      <c r="I7" s="78" t="s">
        <v>571</v>
      </c>
      <c r="J7" s="78" t="s">
        <v>572</v>
      </c>
      <c r="K7" s="7" t="s">
        <v>573</v>
      </c>
      <c r="L7" s="80" t="s">
        <v>574</v>
      </c>
    </row>
    <row r="8" spans="1:12" ht="22.5" customHeight="1" x14ac:dyDescent="0.15">
      <c r="A8" s="76">
        <v>46155</v>
      </c>
      <c r="B8" s="7" t="s">
        <v>15</v>
      </c>
      <c r="C8" s="7" t="s">
        <v>12</v>
      </c>
      <c r="D8" s="77" t="s">
        <v>560</v>
      </c>
      <c r="E8" s="78" t="s">
        <v>566</v>
      </c>
      <c r="F8" s="7" t="s">
        <v>575</v>
      </c>
      <c r="G8" s="82">
        <v>9500000</v>
      </c>
      <c r="H8" s="82"/>
      <c r="I8" s="78" t="s">
        <v>571</v>
      </c>
      <c r="J8" s="78" t="s">
        <v>572</v>
      </c>
      <c r="K8" s="7" t="s">
        <v>573</v>
      </c>
      <c r="L8" s="80" t="s">
        <v>576</v>
      </c>
    </row>
    <row r="9" spans="1:12" ht="22.5" customHeight="1" x14ac:dyDescent="0.15">
      <c r="A9" s="76">
        <v>46155</v>
      </c>
      <c r="B9" s="7" t="s">
        <v>15</v>
      </c>
      <c r="C9" s="7" t="s">
        <v>12</v>
      </c>
      <c r="D9" s="77" t="s">
        <v>560</v>
      </c>
      <c r="E9" s="78" t="s">
        <v>566</v>
      </c>
      <c r="F9" s="7" t="s">
        <v>577</v>
      </c>
      <c r="G9" s="82">
        <v>9500000</v>
      </c>
      <c r="H9" s="82"/>
      <c r="I9" s="78" t="s">
        <v>571</v>
      </c>
      <c r="J9" s="78" t="s">
        <v>572</v>
      </c>
      <c r="K9" s="7" t="s">
        <v>573</v>
      </c>
      <c r="L9" s="80"/>
    </row>
    <row r="10" spans="1:12" ht="22.5" customHeight="1" x14ac:dyDescent="0.15">
      <c r="A10" s="76">
        <v>46155</v>
      </c>
      <c r="B10" s="7" t="s">
        <v>15</v>
      </c>
      <c r="C10" s="7" t="s">
        <v>12</v>
      </c>
      <c r="D10" s="77" t="s">
        <v>564</v>
      </c>
      <c r="E10" s="78" t="s">
        <v>578</v>
      </c>
      <c r="F10" s="7"/>
      <c r="G10" s="82">
        <v>9500000</v>
      </c>
      <c r="H10" s="82"/>
      <c r="I10" s="78" t="s">
        <v>571</v>
      </c>
      <c r="J10" s="78" t="s">
        <v>572</v>
      </c>
      <c r="K10" s="7" t="s">
        <v>573</v>
      </c>
      <c r="L10" s="80" t="s">
        <v>579</v>
      </c>
    </row>
    <row r="11" spans="1:12" ht="22.5" customHeight="1" x14ac:dyDescent="0.15">
      <c r="A11" s="76">
        <v>46155</v>
      </c>
      <c r="B11" s="7" t="s">
        <v>15</v>
      </c>
      <c r="C11" s="7" t="s">
        <v>12</v>
      </c>
      <c r="D11" s="77" t="s">
        <v>580</v>
      </c>
      <c r="E11" s="78" t="s">
        <v>566</v>
      </c>
      <c r="F11" s="7" t="s">
        <v>581</v>
      </c>
      <c r="G11" s="82">
        <v>9500000</v>
      </c>
      <c r="H11" s="82"/>
      <c r="I11" s="78" t="s">
        <v>571</v>
      </c>
      <c r="J11" s="78" t="s">
        <v>572</v>
      </c>
      <c r="K11" s="7" t="s">
        <v>573</v>
      </c>
      <c r="L11" s="80" t="s">
        <v>582</v>
      </c>
    </row>
    <row r="12" spans="1:12" ht="22.5" customHeight="1" x14ac:dyDescent="0.15">
      <c r="A12" s="76">
        <v>46155</v>
      </c>
      <c r="B12" s="7" t="s">
        <v>15</v>
      </c>
      <c r="C12" s="7" t="s">
        <v>12</v>
      </c>
      <c r="D12" s="77" t="s">
        <v>565</v>
      </c>
      <c r="E12" s="78" t="s">
        <v>566</v>
      </c>
      <c r="F12" s="7" t="s">
        <v>581</v>
      </c>
      <c r="G12" s="82">
        <v>9500000</v>
      </c>
      <c r="H12" s="82"/>
      <c r="I12" s="78" t="s">
        <v>571</v>
      </c>
      <c r="J12" s="78" t="s">
        <v>572</v>
      </c>
      <c r="K12" s="7" t="s">
        <v>573</v>
      </c>
      <c r="L12" s="80"/>
    </row>
    <row r="13" spans="1:12" ht="22.5" customHeight="1" x14ac:dyDescent="0.15">
      <c r="A13" s="76">
        <v>46155</v>
      </c>
      <c r="B13" s="7" t="s">
        <v>15</v>
      </c>
      <c r="C13" s="7" t="s">
        <v>12</v>
      </c>
      <c r="D13" s="77" t="s">
        <v>567</v>
      </c>
      <c r="E13" s="78" t="s">
        <v>566</v>
      </c>
      <c r="F13" s="7" t="s">
        <v>583</v>
      </c>
      <c r="G13" s="82">
        <v>9500000</v>
      </c>
      <c r="H13" s="82"/>
      <c r="I13" s="78" t="s">
        <v>571</v>
      </c>
      <c r="J13" s="78" t="s">
        <v>572</v>
      </c>
      <c r="K13" s="7" t="s">
        <v>573</v>
      </c>
      <c r="L13" s="80"/>
    </row>
    <row r="14" spans="1:12" ht="22.5" customHeight="1" x14ac:dyDescent="0.15">
      <c r="A14" s="76">
        <v>46155</v>
      </c>
      <c r="B14" s="7" t="s">
        <v>15</v>
      </c>
      <c r="C14" s="7" t="s">
        <v>12</v>
      </c>
      <c r="D14" s="77" t="s">
        <v>567</v>
      </c>
      <c r="E14" s="78" t="s">
        <v>566</v>
      </c>
      <c r="F14" s="7" t="s">
        <v>577</v>
      </c>
      <c r="G14" s="82">
        <v>9500000</v>
      </c>
      <c r="H14" s="82"/>
      <c r="I14" s="78" t="s">
        <v>571</v>
      </c>
      <c r="J14" s="78" t="s">
        <v>572</v>
      </c>
      <c r="K14" s="7" t="s">
        <v>573</v>
      </c>
      <c r="L14" s="80"/>
    </row>
    <row r="15" spans="1:12" ht="22.5" customHeight="1" x14ac:dyDescent="0.15">
      <c r="A15" s="76">
        <v>46114</v>
      </c>
      <c r="B15" s="7" t="s">
        <v>18</v>
      </c>
      <c r="C15" s="7" t="s">
        <v>12</v>
      </c>
      <c r="D15" s="77" t="s">
        <v>564</v>
      </c>
      <c r="E15" s="78" t="s">
        <v>578</v>
      </c>
      <c r="F15" s="7"/>
      <c r="G15" s="82">
        <v>800000</v>
      </c>
      <c r="H15" s="82"/>
      <c r="I15" s="78" t="s">
        <v>562</v>
      </c>
      <c r="J15" s="78" t="s">
        <v>563</v>
      </c>
      <c r="K15" s="7" t="s">
        <v>14</v>
      </c>
      <c r="L15" s="80"/>
    </row>
    <row r="16" spans="1:12" ht="22.5" customHeight="1" x14ac:dyDescent="0.15">
      <c r="A16" s="76">
        <v>46114</v>
      </c>
      <c r="B16" s="7" t="s">
        <v>18</v>
      </c>
      <c r="C16" s="7" t="s">
        <v>12</v>
      </c>
      <c r="D16" s="77" t="s">
        <v>565</v>
      </c>
      <c r="E16" s="78" t="s">
        <v>566</v>
      </c>
      <c r="F16" s="7"/>
      <c r="G16" s="82">
        <v>800000</v>
      </c>
      <c r="H16" s="82"/>
      <c r="I16" s="78" t="s">
        <v>562</v>
      </c>
      <c r="J16" s="78" t="s">
        <v>563</v>
      </c>
      <c r="K16" s="7" t="s">
        <v>14</v>
      </c>
      <c r="L16" s="80"/>
    </row>
    <row r="17" spans="1:12" ht="22.5" customHeight="1" x14ac:dyDescent="0.15">
      <c r="A17" s="76">
        <v>46114</v>
      </c>
      <c r="B17" s="7" t="s">
        <v>18</v>
      </c>
      <c r="C17" s="7" t="s">
        <v>12</v>
      </c>
      <c r="D17" s="77" t="s">
        <v>567</v>
      </c>
      <c r="E17" s="78" t="s">
        <v>578</v>
      </c>
      <c r="F17" s="7"/>
      <c r="G17" s="82">
        <v>800000</v>
      </c>
      <c r="H17" s="82"/>
      <c r="I17" s="78" t="s">
        <v>562</v>
      </c>
      <c r="J17" s="78" t="s">
        <v>563</v>
      </c>
      <c r="K17" s="7" t="s">
        <v>14</v>
      </c>
      <c r="L17" s="80"/>
    </row>
    <row r="18" spans="1:12" ht="22.5" customHeight="1" x14ac:dyDescent="0.15">
      <c r="A18" s="76">
        <v>46114</v>
      </c>
      <c r="B18" s="7" t="s">
        <v>18</v>
      </c>
      <c r="C18" s="7" t="s">
        <v>12</v>
      </c>
      <c r="D18" s="77" t="s">
        <v>567</v>
      </c>
      <c r="E18" s="78" t="s">
        <v>561</v>
      </c>
      <c r="F18" s="7"/>
      <c r="G18" s="82">
        <v>800000</v>
      </c>
      <c r="H18" s="82"/>
      <c r="I18" s="78" t="s">
        <v>562</v>
      </c>
      <c r="J18" s="78" t="s">
        <v>563</v>
      </c>
      <c r="K18" s="7" t="s">
        <v>14</v>
      </c>
      <c r="L18" s="80"/>
    </row>
    <row r="19" spans="1:12" ht="22.5" customHeight="1" x14ac:dyDescent="0.15">
      <c r="A19" s="76">
        <v>46114</v>
      </c>
      <c r="B19" s="7" t="s">
        <v>18</v>
      </c>
      <c r="C19" s="7" t="s">
        <v>12</v>
      </c>
      <c r="D19" s="77" t="s">
        <v>569</v>
      </c>
      <c r="E19" s="78" t="s">
        <v>566</v>
      </c>
      <c r="F19" s="7"/>
      <c r="G19" s="82">
        <v>800000</v>
      </c>
      <c r="H19" s="82"/>
      <c r="I19" s="78" t="s">
        <v>562</v>
      </c>
      <c r="J19" s="78" t="s">
        <v>563</v>
      </c>
      <c r="K19" s="7" t="s">
        <v>14</v>
      </c>
      <c r="L19" s="80"/>
    </row>
    <row r="20" spans="1:12" ht="22.5" customHeight="1" x14ac:dyDescent="0.15">
      <c r="A20" s="76">
        <v>46114</v>
      </c>
      <c r="B20" s="7" t="s">
        <v>20</v>
      </c>
      <c r="C20" s="7" t="s">
        <v>12</v>
      </c>
      <c r="D20" s="77" t="s">
        <v>580</v>
      </c>
      <c r="E20" s="78" t="s">
        <v>566</v>
      </c>
      <c r="F20" s="7"/>
      <c r="G20" s="82">
        <v>2000000</v>
      </c>
      <c r="H20" s="82"/>
      <c r="I20" s="78" t="s">
        <v>562</v>
      </c>
      <c r="J20" s="78" t="s">
        <v>563</v>
      </c>
      <c r="K20" s="7" t="s">
        <v>14</v>
      </c>
      <c r="L20" s="80"/>
    </row>
    <row r="21" spans="1:12" ht="22.5" customHeight="1" x14ac:dyDescent="0.15">
      <c r="A21" s="76">
        <v>46114</v>
      </c>
      <c r="B21" s="7" t="s">
        <v>20</v>
      </c>
      <c r="C21" s="7" t="s">
        <v>12</v>
      </c>
      <c r="D21" s="77" t="s">
        <v>565</v>
      </c>
      <c r="E21" s="78" t="s">
        <v>566</v>
      </c>
      <c r="F21" s="7"/>
      <c r="G21" s="82">
        <v>2000000</v>
      </c>
      <c r="H21" s="82"/>
      <c r="I21" s="78" t="s">
        <v>562</v>
      </c>
      <c r="J21" s="78" t="s">
        <v>563</v>
      </c>
      <c r="K21" s="7" t="s">
        <v>14</v>
      </c>
      <c r="L21" s="80"/>
    </row>
    <row r="22" spans="1:12" ht="22.5" customHeight="1" x14ac:dyDescent="0.15">
      <c r="A22" s="76">
        <v>46125</v>
      </c>
      <c r="B22" s="7" t="s">
        <v>20</v>
      </c>
      <c r="C22" s="7" t="s">
        <v>12</v>
      </c>
      <c r="D22" s="77" t="s">
        <v>569</v>
      </c>
      <c r="E22" s="78" t="s">
        <v>566</v>
      </c>
      <c r="F22" s="7"/>
      <c r="G22" s="82">
        <v>2000000</v>
      </c>
      <c r="H22" s="82"/>
      <c r="I22" s="78" t="s">
        <v>562</v>
      </c>
      <c r="J22" s="78" t="s">
        <v>563</v>
      </c>
      <c r="K22" s="7" t="s">
        <v>14</v>
      </c>
      <c r="L22" s="80" t="s">
        <v>584</v>
      </c>
    </row>
    <row r="23" spans="1:12" ht="22.5" customHeight="1" x14ac:dyDescent="0.15">
      <c r="A23" s="76">
        <v>46114</v>
      </c>
      <c r="B23" s="7" t="s">
        <v>22</v>
      </c>
      <c r="C23" s="7" t="s">
        <v>12</v>
      </c>
      <c r="D23" s="77" t="s">
        <v>564</v>
      </c>
      <c r="E23" s="78" t="s">
        <v>578</v>
      </c>
      <c r="F23" s="7" t="s">
        <v>585</v>
      </c>
      <c r="G23" s="82">
        <v>4000000</v>
      </c>
      <c r="H23" s="82"/>
      <c r="I23" s="78" t="s">
        <v>562</v>
      </c>
      <c r="J23" s="78" t="s">
        <v>563</v>
      </c>
      <c r="K23" s="7" t="s">
        <v>14</v>
      </c>
      <c r="L23" s="80"/>
    </row>
    <row r="24" spans="1:12" ht="22.5" customHeight="1" x14ac:dyDescent="0.15">
      <c r="A24" s="76">
        <v>46114</v>
      </c>
      <c r="B24" s="7" t="s">
        <v>22</v>
      </c>
      <c r="C24" s="7" t="s">
        <v>12</v>
      </c>
      <c r="D24" s="77" t="s">
        <v>580</v>
      </c>
      <c r="E24" s="78" t="s">
        <v>566</v>
      </c>
      <c r="F24" s="7" t="s">
        <v>586</v>
      </c>
      <c r="G24" s="82">
        <v>4000000</v>
      </c>
      <c r="H24" s="82"/>
      <c r="I24" s="78" t="s">
        <v>562</v>
      </c>
      <c r="J24" s="78" t="s">
        <v>563</v>
      </c>
      <c r="K24" s="7" t="s">
        <v>14</v>
      </c>
      <c r="L24" s="80"/>
    </row>
    <row r="25" spans="1:12" ht="22.5" customHeight="1" x14ac:dyDescent="0.15">
      <c r="A25" s="76">
        <v>46114</v>
      </c>
      <c r="B25" s="7" t="s">
        <v>22</v>
      </c>
      <c r="C25" s="7" t="s">
        <v>12</v>
      </c>
      <c r="D25" s="77" t="s">
        <v>565</v>
      </c>
      <c r="E25" s="78" t="s">
        <v>566</v>
      </c>
      <c r="F25" s="7"/>
      <c r="G25" s="82">
        <v>4000000</v>
      </c>
      <c r="H25" s="82"/>
      <c r="I25" s="78" t="s">
        <v>562</v>
      </c>
      <c r="J25" s="78" t="s">
        <v>563</v>
      </c>
      <c r="K25" s="7" t="s">
        <v>14</v>
      </c>
      <c r="L25" s="80" t="s">
        <v>587</v>
      </c>
    </row>
    <row r="26" spans="1:12" ht="22.5" customHeight="1" x14ac:dyDescent="0.15">
      <c r="A26" s="76">
        <v>46114</v>
      </c>
      <c r="B26" s="7" t="s">
        <v>22</v>
      </c>
      <c r="C26" s="7" t="s">
        <v>12</v>
      </c>
      <c r="D26" s="77" t="s">
        <v>588</v>
      </c>
      <c r="E26" s="78" t="s">
        <v>566</v>
      </c>
      <c r="F26" s="7" t="s">
        <v>589</v>
      </c>
      <c r="G26" s="82">
        <v>4000000</v>
      </c>
      <c r="H26" s="82"/>
      <c r="I26" s="78" t="s">
        <v>562</v>
      </c>
      <c r="J26" s="78" t="s">
        <v>563</v>
      </c>
      <c r="K26" s="7" t="s">
        <v>14</v>
      </c>
      <c r="L26" s="80"/>
    </row>
    <row r="27" spans="1:12" ht="22.5" customHeight="1" x14ac:dyDescent="0.15">
      <c r="A27" s="76">
        <v>46155</v>
      </c>
      <c r="B27" s="7" t="s">
        <v>25</v>
      </c>
      <c r="C27" s="7" t="s">
        <v>12</v>
      </c>
      <c r="D27" s="77" t="s">
        <v>570</v>
      </c>
      <c r="E27" s="78" t="s">
        <v>566</v>
      </c>
      <c r="F27" s="7"/>
      <c r="G27" s="82">
        <v>1200000</v>
      </c>
      <c r="H27" s="82"/>
      <c r="I27" s="78" t="s">
        <v>571</v>
      </c>
      <c r="J27" s="78" t="s">
        <v>572</v>
      </c>
      <c r="K27" s="7" t="s">
        <v>573</v>
      </c>
      <c r="L27" s="80"/>
    </row>
    <row r="28" spans="1:12" ht="22.5" customHeight="1" x14ac:dyDescent="0.15">
      <c r="A28" s="76">
        <v>46155</v>
      </c>
      <c r="B28" s="7" t="s">
        <v>25</v>
      </c>
      <c r="C28" s="7" t="s">
        <v>12</v>
      </c>
      <c r="D28" s="77" t="s">
        <v>560</v>
      </c>
      <c r="E28" s="78" t="s">
        <v>578</v>
      </c>
      <c r="F28" s="7"/>
      <c r="G28" s="82">
        <v>1200000</v>
      </c>
      <c r="H28" s="82"/>
      <c r="I28" s="78" t="s">
        <v>571</v>
      </c>
      <c r="J28" s="78" t="s">
        <v>572</v>
      </c>
      <c r="K28" s="7" t="s">
        <v>573</v>
      </c>
      <c r="L28" s="80"/>
    </row>
    <row r="29" spans="1:12" ht="22.5" customHeight="1" x14ac:dyDescent="0.15">
      <c r="A29" s="76">
        <v>46155</v>
      </c>
      <c r="B29" s="7" t="s">
        <v>25</v>
      </c>
      <c r="C29" s="7" t="s">
        <v>12</v>
      </c>
      <c r="D29" s="77" t="s">
        <v>560</v>
      </c>
      <c r="E29" s="78" t="s">
        <v>561</v>
      </c>
      <c r="F29" s="7"/>
      <c r="G29" s="82">
        <v>1200000</v>
      </c>
      <c r="H29" s="82"/>
      <c r="I29" s="78" t="s">
        <v>571</v>
      </c>
      <c r="J29" s="78" t="s">
        <v>572</v>
      </c>
      <c r="K29" s="7" t="s">
        <v>573</v>
      </c>
      <c r="L29" s="80"/>
    </row>
    <row r="30" spans="1:12" ht="22.5" customHeight="1" x14ac:dyDescent="0.15">
      <c r="A30" s="76">
        <v>46155</v>
      </c>
      <c r="B30" s="7" t="s">
        <v>25</v>
      </c>
      <c r="C30" s="7" t="s">
        <v>12</v>
      </c>
      <c r="D30" s="77" t="s">
        <v>565</v>
      </c>
      <c r="E30" s="78" t="s">
        <v>566</v>
      </c>
      <c r="F30" s="7"/>
      <c r="G30" s="82">
        <v>1200000</v>
      </c>
      <c r="H30" s="82"/>
      <c r="I30" s="78" t="s">
        <v>571</v>
      </c>
      <c r="J30" s="78" t="s">
        <v>572</v>
      </c>
      <c r="K30" s="7" t="s">
        <v>573</v>
      </c>
      <c r="L30" s="80"/>
    </row>
    <row r="31" spans="1:12" ht="22.5" customHeight="1" x14ac:dyDescent="0.15">
      <c r="A31" s="76">
        <v>46155</v>
      </c>
      <c r="B31" s="7" t="s">
        <v>25</v>
      </c>
      <c r="C31" s="7" t="s">
        <v>12</v>
      </c>
      <c r="D31" s="77" t="s">
        <v>567</v>
      </c>
      <c r="E31" s="78" t="s">
        <v>578</v>
      </c>
      <c r="F31" s="7"/>
      <c r="G31" s="82">
        <v>1200000</v>
      </c>
      <c r="H31" s="82"/>
      <c r="I31" s="78" t="s">
        <v>571</v>
      </c>
      <c r="J31" s="78" t="s">
        <v>572</v>
      </c>
      <c r="K31" s="7" t="s">
        <v>573</v>
      </c>
      <c r="L31" s="80"/>
    </row>
    <row r="32" spans="1:12" ht="22.5" customHeight="1" x14ac:dyDescent="0.15">
      <c r="A32" s="76">
        <v>46155</v>
      </c>
      <c r="B32" s="7" t="s">
        <v>25</v>
      </c>
      <c r="C32" s="7" t="s">
        <v>12</v>
      </c>
      <c r="D32" s="77" t="s">
        <v>567</v>
      </c>
      <c r="E32" s="78" t="s">
        <v>561</v>
      </c>
      <c r="F32" s="7"/>
      <c r="G32" s="82">
        <v>1200000</v>
      </c>
      <c r="H32" s="82"/>
      <c r="I32" s="78" t="s">
        <v>571</v>
      </c>
      <c r="J32" s="78" t="s">
        <v>572</v>
      </c>
      <c r="K32" s="7" t="s">
        <v>573</v>
      </c>
      <c r="L32" s="80"/>
    </row>
    <row r="33" spans="1:12" ht="22.5" customHeight="1" x14ac:dyDescent="0.15">
      <c r="A33" s="76">
        <v>46155</v>
      </c>
      <c r="B33" s="7" t="s">
        <v>25</v>
      </c>
      <c r="C33" s="7" t="s">
        <v>12</v>
      </c>
      <c r="D33" s="77" t="s">
        <v>569</v>
      </c>
      <c r="E33" s="78" t="s">
        <v>566</v>
      </c>
      <c r="F33" s="7"/>
      <c r="G33" s="82">
        <v>1200000</v>
      </c>
      <c r="H33" s="82"/>
      <c r="I33" s="78" t="s">
        <v>571</v>
      </c>
      <c r="J33" s="78" t="s">
        <v>572</v>
      </c>
      <c r="K33" s="7" t="s">
        <v>573</v>
      </c>
      <c r="L33" s="80"/>
    </row>
    <row r="34" spans="1:12" ht="22.5" customHeight="1" x14ac:dyDescent="0.15">
      <c r="A34" s="76">
        <v>46114</v>
      </c>
      <c r="B34" s="7" t="s">
        <v>27</v>
      </c>
      <c r="C34" s="7" t="s">
        <v>12</v>
      </c>
      <c r="D34" s="77" t="s">
        <v>564</v>
      </c>
      <c r="E34" s="78" t="s">
        <v>561</v>
      </c>
      <c r="F34" s="7"/>
      <c r="G34" s="82">
        <v>1500000</v>
      </c>
      <c r="H34" s="82"/>
      <c r="I34" s="78" t="s">
        <v>562</v>
      </c>
      <c r="J34" s="78" t="s">
        <v>563</v>
      </c>
      <c r="K34" s="7" t="s">
        <v>14</v>
      </c>
      <c r="L34" s="80"/>
    </row>
    <row r="35" spans="1:12" ht="22.5" customHeight="1" x14ac:dyDescent="0.15">
      <c r="A35" s="76">
        <v>46125</v>
      </c>
      <c r="B35" s="7" t="s">
        <v>27</v>
      </c>
      <c r="C35" s="7" t="s">
        <v>12</v>
      </c>
      <c r="D35" s="77" t="s">
        <v>580</v>
      </c>
      <c r="E35" s="78" t="s">
        <v>566</v>
      </c>
      <c r="F35" s="7"/>
      <c r="G35" s="82">
        <v>1500000</v>
      </c>
      <c r="H35" s="82"/>
      <c r="I35" s="78" t="s">
        <v>562</v>
      </c>
      <c r="J35" s="78" t="s">
        <v>563</v>
      </c>
      <c r="K35" s="7" t="s">
        <v>14</v>
      </c>
      <c r="L35" s="80"/>
    </row>
    <row r="36" spans="1:12" ht="22.5" customHeight="1" x14ac:dyDescent="0.15">
      <c r="A36" s="76">
        <v>46114</v>
      </c>
      <c r="B36" s="7" t="s">
        <v>27</v>
      </c>
      <c r="C36" s="7" t="s">
        <v>12</v>
      </c>
      <c r="D36" s="77" t="s">
        <v>565</v>
      </c>
      <c r="E36" s="78" t="s">
        <v>566</v>
      </c>
      <c r="F36" s="7"/>
      <c r="G36" s="82">
        <v>1500000</v>
      </c>
      <c r="H36" s="82"/>
      <c r="I36" s="78" t="s">
        <v>562</v>
      </c>
      <c r="J36" s="78" t="s">
        <v>563</v>
      </c>
      <c r="K36" s="7" t="s">
        <v>14</v>
      </c>
      <c r="L36" s="80"/>
    </row>
    <row r="37" spans="1:12" ht="22.5" customHeight="1" x14ac:dyDescent="0.15">
      <c r="A37" s="76">
        <v>46114</v>
      </c>
      <c r="B37" s="7" t="s">
        <v>27</v>
      </c>
      <c r="C37" s="7" t="s">
        <v>12</v>
      </c>
      <c r="D37" s="77" t="s">
        <v>588</v>
      </c>
      <c r="E37" s="78" t="s">
        <v>566</v>
      </c>
      <c r="F37" s="7"/>
      <c r="G37" s="82">
        <v>1500000</v>
      </c>
      <c r="H37" s="82"/>
      <c r="I37" s="78" t="s">
        <v>562</v>
      </c>
      <c r="J37" s="78" t="s">
        <v>563</v>
      </c>
      <c r="K37" s="7" t="s">
        <v>14</v>
      </c>
      <c r="L37" s="80"/>
    </row>
    <row r="38" spans="1:12" ht="22.5" customHeight="1" x14ac:dyDescent="0.15">
      <c r="A38" s="76">
        <v>46114</v>
      </c>
      <c r="B38" s="7" t="s">
        <v>27</v>
      </c>
      <c r="C38" s="7" t="s">
        <v>12</v>
      </c>
      <c r="D38" s="77" t="s">
        <v>567</v>
      </c>
      <c r="E38" s="78" t="s">
        <v>578</v>
      </c>
      <c r="F38" s="7"/>
      <c r="G38" s="82">
        <v>1500000</v>
      </c>
      <c r="H38" s="82"/>
      <c r="I38" s="78" t="s">
        <v>562</v>
      </c>
      <c r="J38" s="78" t="s">
        <v>563</v>
      </c>
      <c r="K38" s="7" t="s">
        <v>14</v>
      </c>
      <c r="L38" s="80"/>
    </row>
    <row r="39" spans="1:12" ht="22.5" customHeight="1" x14ac:dyDescent="0.15">
      <c r="A39" s="76">
        <v>46114</v>
      </c>
      <c r="B39" s="7" t="s">
        <v>27</v>
      </c>
      <c r="C39" s="7" t="s">
        <v>12</v>
      </c>
      <c r="D39" s="77" t="s">
        <v>567</v>
      </c>
      <c r="E39" s="78" t="s">
        <v>561</v>
      </c>
      <c r="F39" s="7" t="s">
        <v>590</v>
      </c>
      <c r="G39" s="82">
        <v>1500000</v>
      </c>
      <c r="H39" s="82"/>
      <c r="I39" s="78" t="s">
        <v>562</v>
      </c>
      <c r="J39" s="78" t="s">
        <v>563</v>
      </c>
      <c r="K39" s="7" t="s">
        <v>14</v>
      </c>
      <c r="L39" s="80"/>
    </row>
    <row r="40" spans="1:12" ht="22.5" customHeight="1" x14ac:dyDescent="0.15">
      <c r="A40" s="76">
        <v>46114</v>
      </c>
      <c r="B40" s="7" t="s">
        <v>27</v>
      </c>
      <c r="C40" s="7" t="s">
        <v>12</v>
      </c>
      <c r="D40" s="77" t="s">
        <v>569</v>
      </c>
      <c r="E40" s="78" t="s">
        <v>566</v>
      </c>
      <c r="F40" s="7"/>
      <c r="G40" s="82">
        <v>1500000</v>
      </c>
      <c r="H40" s="82"/>
      <c r="I40" s="78" t="s">
        <v>562</v>
      </c>
      <c r="J40" s="78" t="s">
        <v>563</v>
      </c>
      <c r="K40" s="7" t="s">
        <v>14</v>
      </c>
      <c r="L40" s="80"/>
    </row>
    <row r="41" spans="1:12" ht="22.5" customHeight="1" x14ac:dyDescent="0.15">
      <c r="A41" s="76">
        <v>46155</v>
      </c>
      <c r="B41" s="7" t="s">
        <v>30</v>
      </c>
      <c r="C41" s="7" t="s">
        <v>12</v>
      </c>
      <c r="D41" s="77" t="s">
        <v>570</v>
      </c>
      <c r="E41" s="78" t="s">
        <v>566</v>
      </c>
      <c r="F41" s="7"/>
      <c r="G41" s="82">
        <v>600000</v>
      </c>
      <c r="H41" s="82"/>
      <c r="I41" s="78" t="s">
        <v>571</v>
      </c>
      <c r="J41" s="78" t="s">
        <v>572</v>
      </c>
      <c r="K41" s="7" t="s">
        <v>573</v>
      </c>
      <c r="L41" s="80"/>
    </row>
    <row r="42" spans="1:12" ht="22.5" customHeight="1" x14ac:dyDescent="0.15">
      <c r="A42" s="76">
        <v>46155</v>
      </c>
      <c r="B42" s="7" t="s">
        <v>30</v>
      </c>
      <c r="C42" s="7" t="s">
        <v>12</v>
      </c>
      <c r="D42" s="77" t="s">
        <v>591</v>
      </c>
      <c r="E42" s="78" t="s">
        <v>578</v>
      </c>
      <c r="F42" s="7"/>
      <c r="G42" s="82">
        <v>600000</v>
      </c>
      <c r="H42" s="82"/>
      <c r="I42" s="78" t="s">
        <v>571</v>
      </c>
      <c r="J42" s="78" t="s">
        <v>572</v>
      </c>
      <c r="K42" s="7" t="s">
        <v>573</v>
      </c>
      <c r="L42" s="80"/>
    </row>
    <row r="43" spans="1:12" ht="22.5" customHeight="1" x14ac:dyDescent="0.15">
      <c r="A43" s="76">
        <v>46155</v>
      </c>
      <c r="B43" s="7" t="s">
        <v>30</v>
      </c>
      <c r="C43" s="7" t="s">
        <v>12</v>
      </c>
      <c r="D43" s="77" t="s">
        <v>591</v>
      </c>
      <c r="E43" s="78" t="s">
        <v>561</v>
      </c>
      <c r="F43" s="7"/>
      <c r="G43" s="82">
        <v>600000</v>
      </c>
      <c r="H43" s="82"/>
      <c r="I43" s="78" t="s">
        <v>571</v>
      </c>
      <c r="J43" s="78" t="s">
        <v>572</v>
      </c>
      <c r="K43" s="7" t="s">
        <v>573</v>
      </c>
      <c r="L43" s="80"/>
    </row>
    <row r="44" spans="1:12" ht="22.5" customHeight="1" x14ac:dyDescent="0.15">
      <c r="A44" s="76">
        <v>46155</v>
      </c>
      <c r="B44" s="7" t="s">
        <v>30</v>
      </c>
      <c r="C44" s="7" t="s">
        <v>12</v>
      </c>
      <c r="D44" s="77" t="s">
        <v>560</v>
      </c>
      <c r="E44" s="78" t="s">
        <v>566</v>
      </c>
      <c r="F44" s="7"/>
      <c r="G44" s="82">
        <v>600000</v>
      </c>
      <c r="H44" s="82"/>
      <c r="I44" s="78" t="s">
        <v>571</v>
      </c>
      <c r="J44" s="78" t="s">
        <v>572</v>
      </c>
      <c r="K44" s="7" t="s">
        <v>573</v>
      </c>
      <c r="L44" s="80"/>
    </row>
    <row r="45" spans="1:12" ht="22.5" customHeight="1" x14ac:dyDescent="0.15">
      <c r="A45" s="76">
        <v>46155</v>
      </c>
      <c r="B45" s="7" t="s">
        <v>30</v>
      </c>
      <c r="C45" s="7" t="s">
        <v>12</v>
      </c>
      <c r="D45" s="77" t="s">
        <v>580</v>
      </c>
      <c r="E45" s="78" t="s">
        <v>566</v>
      </c>
      <c r="F45" s="7"/>
      <c r="G45" s="82"/>
      <c r="H45" s="82"/>
      <c r="I45" s="78"/>
      <c r="J45" s="78"/>
      <c r="K45" s="7"/>
      <c r="L45" s="80"/>
    </row>
    <row r="46" spans="1:12" ht="22.5" customHeight="1" x14ac:dyDescent="0.15">
      <c r="A46" s="76">
        <v>46155</v>
      </c>
      <c r="B46" s="7" t="s">
        <v>30</v>
      </c>
      <c r="C46" s="7" t="s">
        <v>12</v>
      </c>
      <c r="D46" s="77" t="s">
        <v>565</v>
      </c>
      <c r="E46" s="78" t="s">
        <v>566</v>
      </c>
      <c r="F46" s="7"/>
      <c r="G46" s="82">
        <v>600000</v>
      </c>
      <c r="H46" s="82"/>
      <c r="I46" s="78" t="s">
        <v>562</v>
      </c>
      <c r="J46" s="78" t="s">
        <v>563</v>
      </c>
      <c r="K46" s="7" t="s">
        <v>14</v>
      </c>
      <c r="L46" s="80"/>
    </row>
    <row r="47" spans="1:12" ht="22.5" customHeight="1" x14ac:dyDescent="0.15">
      <c r="A47" s="76">
        <v>46155</v>
      </c>
      <c r="B47" s="7" t="s">
        <v>30</v>
      </c>
      <c r="C47" s="7" t="s">
        <v>12</v>
      </c>
      <c r="D47" s="77" t="s">
        <v>588</v>
      </c>
      <c r="E47" s="78" t="s">
        <v>566</v>
      </c>
      <c r="F47" s="7"/>
      <c r="G47" s="82">
        <v>600000</v>
      </c>
      <c r="H47" s="82"/>
      <c r="I47" s="78" t="s">
        <v>562</v>
      </c>
      <c r="J47" s="78" t="s">
        <v>563</v>
      </c>
      <c r="K47" s="7" t="s">
        <v>14</v>
      </c>
      <c r="L47" s="80"/>
    </row>
    <row r="48" spans="1:12" ht="22.5" customHeight="1" x14ac:dyDescent="0.15">
      <c r="A48" s="76">
        <v>46155</v>
      </c>
      <c r="B48" s="7" t="s">
        <v>30</v>
      </c>
      <c r="C48" s="7" t="s">
        <v>12</v>
      </c>
      <c r="D48" s="77" t="s">
        <v>567</v>
      </c>
      <c r="E48" s="78" t="s">
        <v>566</v>
      </c>
      <c r="F48" s="7"/>
      <c r="G48" s="82"/>
      <c r="H48" s="82"/>
      <c r="I48" s="78"/>
      <c r="J48" s="78"/>
      <c r="K48" s="7"/>
      <c r="L48" s="80"/>
    </row>
    <row r="49" spans="1:12" ht="22.5" customHeight="1" x14ac:dyDescent="0.15">
      <c r="A49" s="76">
        <v>46155</v>
      </c>
      <c r="B49" s="7" t="s">
        <v>30</v>
      </c>
      <c r="C49" s="7" t="s">
        <v>12</v>
      </c>
      <c r="D49" s="77" t="s">
        <v>569</v>
      </c>
      <c r="E49" s="78" t="s">
        <v>566</v>
      </c>
      <c r="F49" s="7"/>
      <c r="G49" s="82"/>
      <c r="H49" s="82"/>
      <c r="I49" s="78"/>
      <c r="J49" s="78"/>
      <c r="K49" s="7"/>
      <c r="L49" s="80"/>
    </row>
    <row r="50" spans="1:12" ht="22.5" customHeight="1" x14ac:dyDescent="0.15">
      <c r="A50" s="76">
        <v>46155</v>
      </c>
      <c r="B50" s="7" t="s">
        <v>32</v>
      </c>
      <c r="C50" s="7" t="s">
        <v>12</v>
      </c>
      <c r="D50" s="77" t="s">
        <v>560</v>
      </c>
      <c r="E50" s="78" t="s">
        <v>578</v>
      </c>
      <c r="F50" s="7"/>
      <c r="G50" s="82">
        <v>300000</v>
      </c>
      <c r="H50" s="82"/>
      <c r="I50" s="78" t="s">
        <v>571</v>
      </c>
      <c r="J50" s="78" t="s">
        <v>572</v>
      </c>
      <c r="K50" s="7" t="s">
        <v>573</v>
      </c>
      <c r="L50" s="80"/>
    </row>
    <row r="51" spans="1:12" ht="22.5" customHeight="1" x14ac:dyDescent="0.15">
      <c r="A51" s="76">
        <v>46155</v>
      </c>
      <c r="B51" s="7" t="s">
        <v>32</v>
      </c>
      <c r="C51" s="7" t="s">
        <v>12</v>
      </c>
      <c r="D51" s="77" t="s">
        <v>560</v>
      </c>
      <c r="E51" s="78" t="s">
        <v>561</v>
      </c>
      <c r="F51" s="7"/>
      <c r="G51" s="82">
        <v>300000</v>
      </c>
      <c r="H51" s="82"/>
      <c r="I51" s="78" t="s">
        <v>571</v>
      </c>
      <c r="J51" s="78" t="s">
        <v>572</v>
      </c>
      <c r="K51" s="7" t="s">
        <v>573</v>
      </c>
      <c r="L51" s="80"/>
    </row>
    <row r="52" spans="1:12" ht="22.5" customHeight="1" x14ac:dyDescent="0.15">
      <c r="A52" s="76">
        <v>46155</v>
      </c>
      <c r="B52" s="7" t="s">
        <v>32</v>
      </c>
      <c r="C52" s="7" t="s">
        <v>12</v>
      </c>
      <c r="D52" s="77" t="s">
        <v>580</v>
      </c>
      <c r="E52" s="78" t="s">
        <v>566</v>
      </c>
      <c r="F52" s="7"/>
      <c r="G52" s="82">
        <v>300000</v>
      </c>
      <c r="H52" s="82"/>
      <c r="I52" s="78" t="s">
        <v>571</v>
      </c>
      <c r="J52" s="78" t="s">
        <v>572</v>
      </c>
      <c r="K52" s="7" t="s">
        <v>573</v>
      </c>
      <c r="L52" s="80"/>
    </row>
    <row r="53" spans="1:12" ht="22.5" customHeight="1" x14ac:dyDescent="0.15">
      <c r="A53" s="76">
        <v>46155</v>
      </c>
      <c r="B53" s="7" t="s">
        <v>32</v>
      </c>
      <c r="C53" s="7" t="s">
        <v>12</v>
      </c>
      <c r="D53" s="77" t="s">
        <v>565</v>
      </c>
      <c r="E53" s="78" t="s">
        <v>566</v>
      </c>
      <c r="F53" s="7"/>
      <c r="G53" s="82">
        <v>300000</v>
      </c>
      <c r="H53" s="82"/>
      <c r="I53" s="78" t="s">
        <v>571</v>
      </c>
      <c r="J53" s="78" t="s">
        <v>572</v>
      </c>
      <c r="K53" s="7" t="s">
        <v>573</v>
      </c>
      <c r="L53" s="80"/>
    </row>
    <row r="54" spans="1:12" ht="22.5" customHeight="1" x14ac:dyDescent="0.15">
      <c r="A54" s="76">
        <v>46155</v>
      </c>
      <c r="B54" s="7" t="s">
        <v>32</v>
      </c>
      <c r="C54" s="7" t="s">
        <v>12</v>
      </c>
      <c r="D54" s="77" t="s">
        <v>588</v>
      </c>
      <c r="E54" s="78" t="s">
        <v>566</v>
      </c>
      <c r="F54" s="7"/>
      <c r="G54" s="82">
        <v>300000</v>
      </c>
      <c r="H54" s="82"/>
      <c r="I54" s="78" t="s">
        <v>571</v>
      </c>
      <c r="J54" s="78" t="s">
        <v>572</v>
      </c>
      <c r="K54" s="7" t="s">
        <v>573</v>
      </c>
      <c r="L54" s="80"/>
    </row>
    <row r="55" spans="1:12" ht="22.5" customHeight="1" x14ac:dyDescent="0.15">
      <c r="A55" s="76">
        <v>46155</v>
      </c>
      <c r="B55" s="7" t="s">
        <v>32</v>
      </c>
      <c r="C55" s="7" t="s">
        <v>12</v>
      </c>
      <c r="D55" s="77" t="s">
        <v>569</v>
      </c>
      <c r="E55" s="78" t="s">
        <v>566</v>
      </c>
      <c r="F55" s="7" t="s">
        <v>592</v>
      </c>
      <c r="G55" s="82">
        <v>300000</v>
      </c>
      <c r="H55" s="82"/>
      <c r="I55" s="78" t="s">
        <v>571</v>
      </c>
      <c r="J55" s="78" t="s">
        <v>572</v>
      </c>
      <c r="K55" s="7" t="s">
        <v>573</v>
      </c>
      <c r="L55" s="80"/>
    </row>
    <row r="56" spans="1:12" ht="22.5" customHeight="1" x14ac:dyDescent="0.15">
      <c r="A56" s="76">
        <v>46155</v>
      </c>
      <c r="B56" s="7" t="s">
        <v>32</v>
      </c>
      <c r="C56" s="7" t="s">
        <v>12</v>
      </c>
      <c r="D56" s="77" t="s">
        <v>569</v>
      </c>
      <c r="E56" s="78" t="s">
        <v>566</v>
      </c>
      <c r="F56" s="7" t="s">
        <v>593</v>
      </c>
      <c r="G56" s="82">
        <v>300000</v>
      </c>
      <c r="H56" s="82"/>
      <c r="I56" s="78" t="s">
        <v>571</v>
      </c>
      <c r="J56" s="78" t="s">
        <v>572</v>
      </c>
      <c r="K56" s="7" t="s">
        <v>573</v>
      </c>
      <c r="L56" s="80"/>
    </row>
    <row r="57" spans="1:12" ht="22.5" customHeight="1" x14ac:dyDescent="0.15">
      <c r="A57" s="76">
        <v>46114</v>
      </c>
      <c r="B57" s="7" t="s">
        <v>34</v>
      </c>
      <c r="C57" s="7" t="s">
        <v>12</v>
      </c>
      <c r="D57" s="77" t="s">
        <v>570</v>
      </c>
      <c r="E57" s="78" t="s">
        <v>566</v>
      </c>
      <c r="F57" s="7"/>
      <c r="G57" s="82">
        <v>1500000</v>
      </c>
      <c r="H57" s="82"/>
      <c r="I57" s="78" t="s">
        <v>562</v>
      </c>
      <c r="J57" s="78" t="s">
        <v>563</v>
      </c>
      <c r="K57" s="7" t="s">
        <v>14</v>
      </c>
      <c r="L57" s="80"/>
    </row>
    <row r="58" spans="1:12" ht="22.5" customHeight="1" x14ac:dyDescent="0.15">
      <c r="A58" s="76">
        <v>46114</v>
      </c>
      <c r="B58" s="7" t="s">
        <v>34</v>
      </c>
      <c r="C58" s="7" t="s">
        <v>12</v>
      </c>
      <c r="D58" s="77" t="s">
        <v>591</v>
      </c>
      <c r="E58" s="78" t="s">
        <v>561</v>
      </c>
      <c r="F58" s="7"/>
      <c r="G58" s="82">
        <v>1500000</v>
      </c>
      <c r="H58" s="82"/>
      <c r="I58" s="78" t="s">
        <v>562</v>
      </c>
      <c r="J58" s="78" t="s">
        <v>563</v>
      </c>
      <c r="K58" s="7" t="s">
        <v>14</v>
      </c>
      <c r="L58" s="80"/>
    </row>
    <row r="59" spans="1:12" ht="22.5" customHeight="1" x14ac:dyDescent="0.15">
      <c r="A59" s="76">
        <v>46114</v>
      </c>
      <c r="B59" s="7" t="s">
        <v>34</v>
      </c>
      <c r="C59" s="7" t="s">
        <v>12</v>
      </c>
      <c r="D59" s="77" t="s">
        <v>560</v>
      </c>
      <c r="E59" s="78" t="s">
        <v>566</v>
      </c>
      <c r="F59" s="7"/>
      <c r="G59" s="82">
        <v>1500000</v>
      </c>
      <c r="H59" s="82"/>
      <c r="I59" s="78" t="s">
        <v>562</v>
      </c>
      <c r="J59" s="78" t="s">
        <v>563</v>
      </c>
      <c r="K59" s="7" t="s">
        <v>14</v>
      </c>
      <c r="L59" s="80"/>
    </row>
    <row r="60" spans="1:12" ht="22.5" customHeight="1" x14ac:dyDescent="0.15">
      <c r="A60" s="76">
        <v>46114</v>
      </c>
      <c r="B60" s="7" t="s">
        <v>34</v>
      </c>
      <c r="C60" s="7" t="s">
        <v>12</v>
      </c>
      <c r="D60" s="77" t="s">
        <v>580</v>
      </c>
      <c r="E60" s="78" t="s">
        <v>566</v>
      </c>
      <c r="F60" s="7"/>
      <c r="G60" s="82">
        <v>1500000</v>
      </c>
      <c r="H60" s="82"/>
      <c r="I60" s="78" t="s">
        <v>562</v>
      </c>
      <c r="J60" s="78" t="s">
        <v>563</v>
      </c>
      <c r="K60" s="7" t="s">
        <v>14</v>
      </c>
      <c r="L60" s="80"/>
    </row>
    <row r="61" spans="1:12" ht="22.5" customHeight="1" x14ac:dyDescent="0.15">
      <c r="A61" s="76">
        <v>46114</v>
      </c>
      <c r="B61" s="7" t="s">
        <v>34</v>
      </c>
      <c r="C61" s="7" t="s">
        <v>12</v>
      </c>
      <c r="D61" s="77" t="s">
        <v>588</v>
      </c>
      <c r="E61" s="78" t="s">
        <v>566</v>
      </c>
      <c r="F61" s="7"/>
      <c r="G61" s="82">
        <v>1500000</v>
      </c>
      <c r="H61" s="82"/>
      <c r="I61" s="78" t="s">
        <v>562</v>
      </c>
      <c r="J61" s="78" t="s">
        <v>563</v>
      </c>
      <c r="K61" s="7" t="s">
        <v>14</v>
      </c>
      <c r="L61" s="80" t="s">
        <v>594</v>
      </c>
    </row>
    <row r="62" spans="1:12" ht="22.5" customHeight="1" x14ac:dyDescent="0.15">
      <c r="A62" s="76">
        <v>46114</v>
      </c>
      <c r="B62" s="7" t="s">
        <v>34</v>
      </c>
      <c r="C62" s="7" t="s">
        <v>12</v>
      </c>
      <c r="D62" s="77" t="s">
        <v>569</v>
      </c>
      <c r="E62" s="78" t="s">
        <v>566</v>
      </c>
      <c r="F62" s="7"/>
      <c r="G62" s="82">
        <v>1500000</v>
      </c>
      <c r="H62" s="82"/>
      <c r="I62" s="78" t="s">
        <v>562</v>
      </c>
      <c r="J62" s="78" t="s">
        <v>563</v>
      </c>
      <c r="K62" s="7" t="s">
        <v>14</v>
      </c>
      <c r="L62" s="80"/>
    </row>
    <row r="63" spans="1:12" ht="22.5" customHeight="1" x14ac:dyDescent="0.15">
      <c r="A63" s="76">
        <v>46114</v>
      </c>
      <c r="B63" s="7" t="s">
        <v>37</v>
      </c>
      <c r="C63" s="7" t="s">
        <v>12</v>
      </c>
      <c r="D63" s="77" t="s">
        <v>564</v>
      </c>
      <c r="E63" s="78" t="s">
        <v>578</v>
      </c>
      <c r="F63" s="7"/>
      <c r="G63" s="82">
        <v>1500000</v>
      </c>
      <c r="H63" s="82"/>
      <c r="I63" s="78" t="s">
        <v>562</v>
      </c>
      <c r="J63" s="78" t="s">
        <v>563</v>
      </c>
      <c r="K63" s="7" t="s">
        <v>14</v>
      </c>
      <c r="L63" s="80"/>
    </row>
    <row r="64" spans="1:12" ht="22.5" customHeight="1" x14ac:dyDescent="0.15">
      <c r="A64" s="76">
        <v>46114</v>
      </c>
      <c r="B64" s="7" t="s">
        <v>37</v>
      </c>
      <c r="C64" s="7" t="s">
        <v>12</v>
      </c>
      <c r="D64" s="77" t="s">
        <v>560</v>
      </c>
      <c r="E64" s="78" t="s">
        <v>561</v>
      </c>
      <c r="F64" s="7"/>
      <c r="G64" s="82">
        <v>1500000</v>
      </c>
      <c r="H64" s="82"/>
      <c r="I64" s="78" t="s">
        <v>562</v>
      </c>
      <c r="J64" s="78" t="s">
        <v>563</v>
      </c>
      <c r="K64" s="7" t="s">
        <v>14</v>
      </c>
      <c r="L64" s="80"/>
    </row>
    <row r="65" spans="1:12" ht="22.5" customHeight="1" x14ac:dyDescent="0.15">
      <c r="A65" s="76">
        <v>46114</v>
      </c>
      <c r="B65" s="7" t="s">
        <v>37</v>
      </c>
      <c r="C65" s="7" t="s">
        <v>12</v>
      </c>
      <c r="D65" s="77" t="s">
        <v>567</v>
      </c>
      <c r="E65" s="78" t="s">
        <v>561</v>
      </c>
      <c r="F65" s="7"/>
      <c r="G65" s="82">
        <v>1500000</v>
      </c>
      <c r="H65" s="82"/>
      <c r="I65" s="78" t="s">
        <v>562</v>
      </c>
      <c r="J65" s="78" t="s">
        <v>563</v>
      </c>
      <c r="K65" s="7" t="s">
        <v>14</v>
      </c>
      <c r="L65" s="80"/>
    </row>
    <row r="66" spans="1:12" ht="22.5" customHeight="1" x14ac:dyDescent="0.15">
      <c r="A66" s="76">
        <v>46155</v>
      </c>
      <c r="B66" s="7" t="s">
        <v>39</v>
      </c>
      <c r="C66" s="7" t="s">
        <v>12</v>
      </c>
      <c r="D66" s="77" t="s">
        <v>560</v>
      </c>
      <c r="E66" s="78" t="s">
        <v>578</v>
      </c>
      <c r="F66" s="7" t="s">
        <v>595</v>
      </c>
      <c r="G66" s="82">
        <v>5000000</v>
      </c>
      <c r="H66" s="82"/>
      <c r="I66" s="78" t="s">
        <v>571</v>
      </c>
      <c r="J66" s="78" t="s">
        <v>572</v>
      </c>
      <c r="K66" s="7" t="s">
        <v>573</v>
      </c>
      <c r="L66" s="80" t="s">
        <v>596</v>
      </c>
    </row>
    <row r="67" spans="1:12" ht="22.5" customHeight="1" x14ac:dyDescent="0.15">
      <c r="A67" s="76">
        <v>46155</v>
      </c>
      <c r="B67" s="7" t="s">
        <v>39</v>
      </c>
      <c r="C67" s="7" t="s">
        <v>12</v>
      </c>
      <c r="D67" s="77" t="s">
        <v>564</v>
      </c>
      <c r="E67" s="78" t="s">
        <v>561</v>
      </c>
      <c r="F67" s="7"/>
      <c r="G67" s="82">
        <v>5000000</v>
      </c>
      <c r="H67" s="82"/>
      <c r="I67" s="78" t="s">
        <v>571</v>
      </c>
      <c r="J67" s="78" t="s">
        <v>572</v>
      </c>
      <c r="K67" s="7" t="s">
        <v>573</v>
      </c>
      <c r="L67" s="80" t="s">
        <v>579</v>
      </c>
    </row>
    <row r="68" spans="1:12" ht="22.5" customHeight="1" x14ac:dyDescent="0.15">
      <c r="A68" s="76">
        <v>46155</v>
      </c>
      <c r="B68" s="7" t="s">
        <v>39</v>
      </c>
      <c r="C68" s="7" t="s">
        <v>12</v>
      </c>
      <c r="D68" s="77" t="s">
        <v>580</v>
      </c>
      <c r="E68" s="78" t="s">
        <v>566</v>
      </c>
      <c r="F68" s="7"/>
      <c r="G68" s="82">
        <v>5000000</v>
      </c>
      <c r="H68" s="82"/>
      <c r="I68" s="78" t="s">
        <v>571</v>
      </c>
      <c r="J68" s="78" t="s">
        <v>572</v>
      </c>
      <c r="K68" s="7" t="s">
        <v>573</v>
      </c>
      <c r="L68" s="80" t="s">
        <v>597</v>
      </c>
    </row>
    <row r="69" spans="1:12" ht="22.5" customHeight="1" x14ac:dyDescent="0.15">
      <c r="A69" s="76">
        <v>46155</v>
      </c>
      <c r="B69" s="7" t="s">
        <v>39</v>
      </c>
      <c r="C69" s="7" t="s">
        <v>12</v>
      </c>
      <c r="D69" s="77" t="s">
        <v>567</v>
      </c>
      <c r="E69" s="78" t="s">
        <v>578</v>
      </c>
      <c r="F69" s="7"/>
      <c r="G69" s="82">
        <v>5000000</v>
      </c>
      <c r="H69" s="82"/>
      <c r="I69" s="78" t="s">
        <v>571</v>
      </c>
      <c r="J69" s="78" t="s">
        <v>572</v>
      </c>
      <c r="K69" s="7" t="s">
        <v>573</v>
      </c>
      <c r="L69" s="80"/>
    </row>
    <row r="70" spans="1:12" ht="22.5" customHeight="1" x14ac:dyDescent="0.15">
      <c r="A70" s="76">
        <v>46155</v>
      </c>
      <c r="B70" s="7" t="s">
        <v>39</v>
      </c>
      <c r="C70" s="7" t="s">
        <v>12</v>
      </c>
      <c r="D70" s="77" t="s">
        <v>567</v>
      </c>
      <c r="E70" s="78" t="s">
        <v>561</v>
      </c>
      <c r="F70" s="7"/>
      <c r="G70" s="82">
        <v>5000000</v>
      </c>
      <c r="H70" s="82"/>
      <c r="I70" s="78" t="s">
        <v>571</v>
      </c>
      <c r="J70" s="78" t="s">
        <v>572</v>
      </c>
      <c r="K70" s="7" t="s">
        <v>573</v>
      </c>
      <c r="L70" s="80"/>
    </row>
    <row r="71" spans="1:12" ht="22.5" customHeight="1" x14ac:dyDescent="0.15">
      <c r="A71" s="76">
        <v>46114</v>
      </c>
      <c r="B71" s="7" t="s">
        <v>41</v>
      </c>
      <c r="C71" s="7" t="s">
        <v>12</v>
      </c>
      <c r="D71" s="77" t="s">
        <v>570</v>
      </c>
      <c r="E71" s="78" t="s">
        <v>566</v>
      </c>
      <c r="F71" s="7"/>
      <c r="G71" s="82">
        <v>2500000</v>
      </c>
      <c r="H71" s="82"/>
      <c r="I71" s="78" t="s">
        <v>562</v>
      </c>
      <c r="J71" s="78" t="s">
        <v>563</v>
      </c>
      <c r="K71" s="7" t="s">
        <v>14</v>
      </c>
      <c r="L71" s="80"/>
    </row>
    <row r="72" spans="1:12" ht="22.5" customHeight="1" x14ac:dyDescent="0.15">
      <c r="A72" s="76">
        <v>46114</v>
      </c>
      <c r="B72" s="7" t="s">
        <v>41</v>
      </c>
      <c r="C72" s="7" t="s">
        <v>12</v>
      </c>
      <c r="D72" s="77" t="s">
        <v>564</v>
      </c>
      <c r="E72" s="78" t="s">
        <v>578</v>
      </c>
      <c r="F72" s="7"/>
      <c r="G72" s="82">
        <v>2500000</v>
      </c>
      <c r="H72" s="82"/>
      <c r="I72" s="78" t="s">
        <v>562</v>
      </c>
      <c r="J72" s="78" t="s">
        <v>563</v>
      </c>
      <c r="K72" s="7" t="s">
        <v>14</v>
      </c>
      <c r="L72" s="80"/>
    </row>
    <row r="73" spans="1:12" ht="22.5" customHeight="1" x14ac:dyDescent="0.15">
      <c r="A73" s="76">
        <v>46114</v>
      </c>
      <c r="B73" s="7" t="s">
        <v>41</v>
      </c>
      <c r="C73" s="7" t="s">
        <v>12</v>
      </c>
      <c r="D73" s="77" t="s">
        <v>580</v>
      </c>
      <c r="E73" s="78" t="s">
        <v>566</v>
      </c>
      <c r="F73" s="7"/>
      <c r="G73" s="82">
        <v>2500000</v>
      </c>
      <c r="H73" s="82"/>
      <c r="I73" s="78" t="s">
        <v>562</v>
      </c>
      <c r="J73" s="78" t="s">
        <v>563</v>
      </c>
      <c r="K73" s="7" t="s">
        <v>14</v>
      </c>
      <c r="L73" s="80"/>
    </row>
    <row r="74" spans="1:12" ht="22.5" customHeight="1" x14ac:dyDescent="0.15">
      <c r="A74" s="76">
        <v>46114</v>
      </c>
      <c r="B74" s="7" t="s">
        <v>41</v>
      </c>
      <c r="C74" s="7" t="s">
        <v>12</v>
      </c>
      <c r="D74" s="77" t="s">
        <v>565</v>
      </c>
      <c r="E74" s="78" t="s">
        <v>566</v>
      </c>
      <c r="F74" s="7"/>
      <c r="G74" s="82">
        <v>2500000</v>
      </c>
      <c r="H74" s="82"/>
      <c r="I74" s="78" t="s">
        <v>562</v>
      </c>
      <c r="J74" s="78" t="s">
        <v>563</v>
      </c>
      <c r="K74" s="7" t="s">
        <v>14</v>
      </c>
      <c r="L74" s="80"/>
    </row>
    <row r="75" spans="1:12" ht="22.5" customHeight="1" x14ac:dyDescent="0.15">
      <c r="A75" s="76">
        <v>46114</v>
      </c>
      <c r="B75" s="7" t="s">
        <v>41</v>
      </c>
      <c r="C75" s="7" t="s">
        <v>12</v>
      </c>
      <c r="D75" s="77" t="s">
        <v>567</v>
      </c>
      <c r="E75" s="78" t="s">
        <v>578</v>
      </c>
      <c r="F75" s="7"/>
      <c r="G75" s="82">
        <v>2500000</v>
      </c>
      <c r="H75" s="82"/>
      <c r="I75" s="78" t="s">
        <v>562</v>
      </c>
      <c r="J75" s="78" t="s">
        <v>563</v>
      </c>
      <c r="K75" s="7" t="s">
        <v>14</v>
      </c>
      <c r="L75" s="80"/>
    </row>
    <row r="76" spans="1:12" ht="22.5" customHeight="1" x14ac:dyDescent="0.15">
      <c r="A76" s="76">
        <v>46114</v>
      </c>
      <c r="B76" s="7" t="s">
        <v>41</v>
      </c>
      <c r="C76" s="7" t="s">
        <v>12</v>
      </c>
      <c r="D76" s="77" t="s">
        <v>569</v>
      </c>
      <c r="E76" s="78" t="s">
        <v>566</v>
      </c>
      <c r="F76" s="7"/>
      <c r="G76" s="82">
        <v>2500000</v>
      </c>
      <c r="H76" s="82"/>
      <c r="I76" s="78" t="s">
        <v>562</v>
      </c>
      <c r="J76" s="78" t="s">
        <v>563</v>
      </c>
      <c r="K76" s="7" t="s">
        <v>14</v>
      </c>
      <c r="L76" s="80"/>
    </row>
    <row r="77" spans="1:12" ht="22.5" customHeight="1" x14ac:dyDescent="0.15">
      <c r="A77" s="76">
        <v>46125</v>
      </c>
      <c r="B77" s="7" t="s">
        <v>44</v>
      </c>
      <c r="C77" s="7" t="s">
        <v>12</v>
      </c>
      <c r="D77" s="77" t="s">
        <v>564</v>
      </c>
      <c r="E77" s="78" t="s">
        <v>561</v>
      </c>
      <c r="F77" s="7"/>
      <c r="G77" s="82">
        <v>2500000</v>
      </c>
      <c r="H77" s="82"/>
      <c r="I77" s="78" t="s">
        <v>562</v>
      </c>
      <c r="J77" s="78" t="s">
        <v>563</v>
      </c>
      <c r="K77" s="7" t="s">
        <v>14</v>
      </c>
      <c r="L77" s="80" t="s">
        <v>598</v>
      </c>
    </row>
    <row r="78" spans="1:12" ht="22.5" customHeight="1" x14ac:dyDescent="0.15">
      <c r="A78" s="76">
        <v>46114</v>
      </c>
      <c r="B78" s="7" t="s">
        <v>44</v>
      </c>
      <c r="C78" s="7" t="s">
        <v>12</v>
      </c>
      <c r="D78" s="77" t="s">
        <v>580</v>
      </c>
      <c r="E78" s="78" t="s">
        <v>566</v>
      </c>
      <c r="F78" s="7"/>
      <c r="G78" s="82">
        <v>2500000</v>
      </c>
      <c r="H78" s="82"/>
      <c r="I78" s="78" t="s">
        <v>562</v>
      </c>
      <c r="J78" s="78" t="s">
        <v>563</v>
      </c>
      <c r="K78" s="7" t="s">
        <v>14</v>
      </c>
      <c r="L78" s="80" t="s">
        <v>587</v>
      </c>
    </row>
    <row r="79" spans="1:12" ht="22.5" customHeight="1" x14ac:dyDescent="0.15">
      <c r="A79" s="76">
        <v>46114</v>
      </c>
      <c r="B79" s="7" t="s">
        <v>44</v>
      </c>
      <c r="C79" s="7" t="s">
        <v>12</v>
      </c>
      <c r="D79" s="77" t="s">
        <v>588</v>
      </c>
      <c r="E79" s="78" t="s">
        <v>566</v>
      </c>
      <c r="F79" s="7"/>
      <c r="G79" s="82">
        <v>2500000</v>
      </c>
      <c r="H79" s="82"/>
      <c r="I79" s="78" t="s">
        <v>562</v>
      </c>
      <c r="J79" s="78" t="s">
        <v>563</v>
      </c>
      <c r="K79" s="7" t="s">
        <v>14</v>
      </c>
      <c r="L79" s="80"/>
    </row>
    <row r="80" spans="1:12" ht="22.5" customHeight="1" x14ac:dyDescent="0.15">
      <c r="A80" s="76">
        <v>46114</v>
      </c>
      <c r="B80" s="7" t="s">
        <v>44</v>
      </c>
      <c r="C80" s="7" t="s">
        <v>12</v>
      </c>
      <c r="D80" s="77" t="s">
        <v>567</v>
      </c>
      <c r="E80" s="78" t="s">
        <v>578</v>
      </c>
      <c r="F80" s="7"/>
      <c r="G80" s="82">
        <v>2500000</v>
      </c>
      <c r="H80" s="82"/>
      <c r="I80" s="78" t="s">
        <v>562</v>
      </c>
      <c r="J80" s="78" t="s">
        <v>563</v>
      </c>
      <c r="K80" s="7" t="s">
        <v>14</v>
      </c>
      <c r="L80" s="80"/>
    </row>
    <row r="81" spans="1:12" ht="22.5" customHeight="1" x14ac:dyDescent="0.15">
      <c r="A81" s="76">
        <v>46114</v>
      </c>
      <c r="B81" s="7" t="s">
        <v>44</v>
      </c>
      <c r="C81" s="7" t="s">
        <v>12</v>
      </c>
      <c r="D81" s="77" t="s">
        <v>567</v>
      </c>
      <c r="E81" s="78" t="s">
        <v>561</v>
      </c>
      <c r="F81" s="7"/>
      <c r="G81" s="82">
        <v>2500000</v>
      </c>
      <c r="H81" s="82"/>
      <c r="I81" s="78" t="s">
        <v>562</v>
      </c>
      <c r="J81" s="78" t="s">
        <v>563</v>
      </c>
      <c r="K81" s="7" t="s">
        <v>14</v>
      </c>
      <c r="L81" s="80"/>
    </row>
    <row r="82" spans="1:12" ht="22.5" customHeight="1" x14ac:dyDescent="0.15">
      <c r="A82" s="76">
        <v>46125</v>
      </c>
      <c r="B82" s="7" t="s">
        <v>44</v>
      </c>
      <c r="C82" s="7" t="s">
        <v>12</v>
      </c>
      <c r="D82" s="77" t="s">
        <v>569</v>
      </c>
      <c r="E82" s="78" t="s">
        <v>566</v>
      </c>
      <c r="F82" s="7"/>
      <c r="G82" s="82">
        <v>2500000</v>
      </c>
      <c r="H82" s="82"/>
      <c r="I82" s="78" t="s">
        <v>562</v>
      </c>
      <c r="J82" s="78" t="s">
        <v>563</v>
      </c>
      <c r="K82" s="7" t="s">
        <v>14</v>
      </c>
      <c r="L82" s="80" t="s">
        <v>599</v>
      </c>
    </row>
    <row r="83" spans="1:12" ht="22.5" customHeight="1" x14ac:dyDescent="0.15">
      <c r="A83" s="76">
        <v>46125</v>
      </c>
      <c r="B83" s="7" t="s">
        <v>46</v>
      </c>
      <c r="C83" s="7" t="s">
        <v>12</v>
      </c>
      <c r="D83" s="77" t="s">
        <v>570</v>
      </c>
      <c r="E83" s="78" t="s">
        <v>566</v>
      </c>
      <c r="F83" s="7"/>
      <c r="G83" s="82">
        <v>5000000</v>
      </c>
      <c r="H83" s="82"/>
      <c r="I83" s="78" t="s">
        <v>571</v>
      </c>
      <c r="J83" s="78" t="s">
        <v>572</v>
      </c>
      <c r="K83" s="7" t="s">
        <v>600</v>
      </c>
      <c r="L83" s="80" t="s">
        <v>601</v>
      </c>
    </row>
    <row r="84" spans="1:12" ht="22.5" customHeight="1" x14ac:dyDescent="0.15">
      <c r="A84" s="76">
        <v>46060</v>
      </c>
      <c r="B84" s="7" t="s">
        <v>48</v>
      </c>
      <c r="C84" s="7" t="s">
        <v>12</v>
      </c>
      <c r="D84" s="77" t="s">
        <v>564</v>
      </c>
      <c r="E84" s="78" t="s">
        <v>561</v>
      </c>
      <c r="F84" s="7"/>
      <c r="G84" s="82">
        <v>1000000</v>
      </c>
      <c r="H84" s="82"/>
      <c r="I84" s="78" t="s">
        <v>562</v>
      </c>
      <c r="J84" s="78" t="s">
        <v>563</v>
      </c>
      <c r="K84" s="7" t="s">
        <v>14</v>
      </c>
      <c r="L84" s="80"/>
    </row>
    <row r="85" spans="1:12" ht="22.5" customHeight="1" x14ac:dyDescent="0.15">
      <c r="A85" s="76">
        <v>46060</v>
      </c>
      <c r="B85" s="7" t="s">
        <v>48</v>
      </c>
      <c r="C85" s="7" t="s">
        <v>12</v>
      </c>
      <c r="D85" s="77" t="s">
        <v>580</v>
      </c>
      <c r="E85" s="78" t="s">
        <v>566</v>
      </c>
      <c r="F85" s="7"/>
      <c r="G85" s="82">
        <v>1000000</v>
      </c>
      <c r="H85" s="82"/>
      <c r="I85" s="78" t="s">
        <v>562</v>
      </c>
      <c r="J85" s="78" t="s">
        <v>563</v>
      </c>
      <c r="K85" s="7" t="s">
        <v>14</v>
      </c>
      <c r="L85" s="80" t="s">
        <v>602</v>
      </c>
    </row>
  </sheetData>
  <dataValidations count="3">
    <dataValidation type="custom" allowBlank="1" showDropDown="1" sqref="A2:A85" xr:uid="{00000000-0002-0000-0300-000000000000}">
      <formula1>OR(NOT(ISERROR(DATEVALUE(A2))), AND(ISNUMBER(A2), LEFT(CELL("format", A2))="D"))</formula1>
    </dataValidation>
    <dataValidation type="custom" allowBlank="1" showDropDown="1" sqref="G2:G85" xr:uid="{00000000-0002-0000-0300-000001000000}">
      <formula1>AND(ISNUMBER(G2),(NOT(OR(NOT(ISERROR(DATEVALUE(G2))), AND(ISNUMBER(G2), LEFT(CELL("format", G2))="D")))))</formula1>
    </dataValidation>
    <dataValidation allowBlank="1" showDropDown="1" sqref="J2:J85" xr:uid="{00000000-0002-0000-0300-000002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15" customWidth="1"/>
    <col min="2" max="2" width="15.6640625" customWidth="1"/>
    <col min="5" max="5" width="15.6640625" customWidth="1"/>
  </cols>
  <sheetData>
    <row r="1" spans="1:23" ht="15.75" customHeight="1" x14ac:dyDescent="0.15">
      <c r="A1" s="83" t="s">
        <v>51</v>
      </c>
      <c r="B1" s="84" t="s">
        <v>52</v>
      </c>
      <c r="C1" s="84" t="s">
        <v>603</v>
      </c>
      <c r="D1" s="84" t="s">
        <v>55</v>
      </c>
      <c r="E1" s="84" t="s">
        <v>604</v>
      </c>
      <c r="F1" s="84" t="s">
        <v>605</v>
      </c>
      <c r="G1" s="84" t="s">
        <v>606</v>
      </c>
      <c r="H1" s="84" t="s">
        <v>59</v>
      </c>
      <c r="I1" s="84" t="s">
        <v>60</v>
      </c>
      <c r="J1" s="84" t="s">
        <v>61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ht="15.75" customHeight="1" x14ac:dyDescent="0.15">
      <c r="A2" s="86">
        <v>3</v>
      </c>
      <c r="B2" s="87">
        <v>6</v>
      </c>
      <c r="C2" s="87">
        <v>6</v>
      </c>
      <c r="D2" s="87">
        <v>8</v>
      </c>
      <c r="E2" s="87">
        <v>8</v>
      </c>
      <c r="F2" s="87">
        <v>12</v>
      </c>
      <c r="G2" s="87">
        <v>6</v>
      </c>
      <c r="H2" s="87">
        <v>7</v>
      </c>
      <c r="I2" s="87">
        <v>6</v>
      </c>
      <c r="J2" s="87">
        <v>7</v>
      </c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3" ht="15.75" customHeight="1" x14ac:dyDescent="0.15">
      <c r="A3" t="s">
        <v>607</v>
      </c>
      <c r="B3" s="85" t="s">
        <v>608</v>
      </c>
      <c r="C3" s="85" t="s">
        <v>608</v>
      </c>
      <c r="D3" s="85" t="s">
        <v>608</v>
      </c>
      <c r="E3" s="85" t="s">
        <v>608</v>
      </c>
      <c r="F3" s="85" t="s">
        <v>608</v>
      </c>
      <c r="G3" s="85" t="s">
        <v>608</v>
      </c>
      <c r="H3" s="85" t="s">
        <v>608</v>
      </c>
      <c r="I3" s="5" t="s">
        <v>11</v>
      </c>
      <c r="J3" t="s">
        <v>607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</row>
    <row r="4" spans="1:23" ht="15.75" customHeight="1" x14ac:dyDescent="0.15">
      <c r="A4" t="s">
        <v>609</v>
      </c>
      <c r="B4" s="85" t="s">
        <v>610</v>
      </c>
      <c r="C4" t="s">
        <v>607</v>
      </c>
      <c r="D4" t="s">
        <v>607</v>
      </c>
      <c r="E4" t="s">
        <v>607</v>
      </c>
      <c r="F4" s="5" t="s">
        <v>11</v>
      </c>
      <c r="G4" t="s">
        <v>607</v>
      </c>
      <c r="H4" s="85" t="s">
        <v>611</v>
      </c>
      <c r="I4" s="85" t="s">
        <v>610</v>
      </c>
      <c r="J4" s="5" t="s">
        <v>11</v>
      </c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</row>
    <row r="5" spans="1:23" ht="15.75" customHeight="1" x14ac:dyDescent="0.15">
      <c r="A5" t="s">
        <v>612</v>
      </c>
      <c r="B5" s="85" t="s">
        <v>611</v>
      </c>
      <c r="C5" s="5" t="s">
        <v>11</v>
      </c>
      <c r="D5" s="5" t="s">
        <v>11</v>
      </c>
      <c r="E5" s="85" t="s">
        <v>611</v>
      </c>
      <c r="F5" s="85" t="s">
        <v>611</v>
      </c>
      <c r="G5" s="89" t="s">
        <v>613</v>
      </c>
      <c r="H5" s="85" t="s">
        <v>614</v>
      </c>
      <c r="I5" s="85" t="s">
        <v>611</v>
      </c>
      <c r="J5" s="85" t="s">
        <v>611</v>
      </c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</row>
    <row r="6" spans="1:23" ht="15.75" customHeight="1" x14ac:dyDescent="0.15">
      <c r="B6" s="85" t="s">
        <v>614</v>
      </c>
      <c r="C6" s="85" t="s">
        <v>610</v>
      </c>
      <c r="D6" s="85" t="s">
        <v>611</v>
      </c>
      <c r="E6" s="89" t="s">
        <v>613</v>
      </c>
      <c r="F6" s="85" t="s">
        <v>614</v>
      </c>
      <c r="G6" s="85" t="s">
        <v>615</v>
      </c>
      <c r="H6" s="85" t="s">
        <v>616</v>
      </c>
      <c r="I6" s="85" t="s">
        <v>614</v>
      </c>
      <c r="J6" s="85" t="s">
        <v>614</v>
      </c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</row>
    <row r="7" spans="1:23" ht="15.75" customHeight="1" x14ac:dyDescent="0.15">
      <c r="B7" s="89" t="s">
        <v>613</v>
      </c>
      <c r="C7" s="85" t="s">
        <v>611</v>
      </c>
      <c r="D7" s="85" t="s">
        <v>616</v>
      </c>
      <c r="E7" s="85" t="s">
        <v>617</v>
      </c>
      <c r="F7" s="89" t="s">
        <v>613</v>
      </c>
      <c r="G7" s="85" t="s">
        <v>44</v>
      </c>
      <c r="H7" t="s">
        <v>609</v>
      </c>
      <c r="I7" s="85" t="s">
        <v>44</v>
      </c>
      <c r="J7" s="89" t="s">
        <v>617</v>
      </c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</row>
    <row r="8" spans="1:23" ht="15.75" customHeight="1" x14ac:dyDescent="0.15">
      <c r="B8" t="s">
        <v>609</v>
      </c>
      <c r="C8" s="89" t="s">
        <v>618</v>
      </c>
      <c r="D8" s="85" t="s">
        <v>615</v>
      </c>
      <c r="E8" s="85" t="s">
        <v>616</v>
      </c>
      <c r="F8" s="85" t="s">
        <v>617</v>
      </c>
      <c r="G8" s="85" t="s">
        <v>619</v>
      </c>
      <c r="H8" s="85" t="s">
        <v>44</v>
      </c>
      <c r="I8" s="85" t="s">
        <v>619</v>
      </c>
      <c r="J8" s="89" t="s">
        <v>618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</row>
    <row r="9" spans="1:23" ht="15.75" customHeight="1" x14ac:dyDescent="0.15">
      <c r="A9" s="85"/>
      <c r="B9" s="85"/>
      <c r="C9" s="85"/>
      <c r="D9" s="89" t="s">
        <v>620</v>
      </c>
      <c r="E9" t="s">
        <v>609</v>
      </c>
      <c r="F9" s="89" t="s">
        <v>618</v>
      </c>
      <c r="G9" s="85"/>
      <c r="H9" s="85" t="s">
        <v>619</v>
      </c>
      <c r="I9" s="85"/>
      <c r="J9" t="s">
        <v>609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</row>
    <row r="10" spans="1:23" ht="15.75" customHeight="1" x14ac:dyDescent="0.15">
      <c r="A10" s="85"/>
      <c r="B10" s="85"/>
      <c r="C10" s="85"/>
      <c r="D10" s="85" t="s">
        <v>619</v>
      </c>
      <c r="E10" s="85" t="s">
        <v>44</v>
      </c>
      <c r="F10" s="85" t="s">
        <v>616</v>
      </c>
      <c r="G10" s="85"/>
      <c r="H10" s="85"/>
      <c r="I10" s="85"/>
      <c r="J10" s="89" t="s">
        <v>620</v>
      </c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</row>
    <row r="11" spans="1:23" ht="15.75" customHeight="1" x14ac:dyDescent="0.15">
      <c r="A11" s="85"/>
      <c r="B11" s="85"/>
      <c r="C11" s="85"/>
      <c r="D11" s="89" t="s">
        <v>48</v>
      </c>
      <c r="E11" s="85" t="s">
        <v>619</v>
      </c>
      <c r="F11" s="85" t="s">
        <v>615</v>
      </c>
      <c r="G11" s="85"/>
      <c r="H11" s="85"/>
      <c r="I11" s="85"/>
      <c r="J11" s="85" t="s">
        <v>619</v>
      </c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spans="1:23" ht="15.75" customHeight="1" x14ac:dyDescent="0.15">
      <c r="A12" s="85"/>
      <c r="B12" s="85"/>
      <c r="C12" s="85"/>
      <c r="E12" s="85"/>
      <c r="F12" t="s">
        <v>609</v>
      </c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</row>
    <row r="13" spans="1:23" ht="15.75" customHeight="1" x14ac:dyDescent="0.15">
      <c r="A13" s="85"/>
      <c r="B13" s="85"/>
      <c r="C13" s="85"/>
      <c r="D13" s="85"/>
      <c r="E13" s="85"/>
      <c r="F13" s="85" t="s">
        <v>619</v>
      </c>
      <c r="G13" s="85"/>
      <c r="H13" s="85"/>
      <c r="I13" s="85"/>
      <c r="J13" s="85"/>
      <c r="K13" s="85"/>
      <c r="L13" s="85"/>
      <c r="M13" s="85"/>
      <c r="N13" s="85"/>
      <c r="O13" s="85"/>
      <c r="P13" s="90"/>
      <c r="Q13" s="85"/>
      <c r="R13" s="90"/>
      <c r="S13" s="85"/>
      <c r="T13" s="85"/>
      <c r="U13" s="85"/>
      <c r="V13" s="85"/>
      <c r="W13" s="85"/>
    </row>
    <row r="14" spans="1:23" ht="15.75" customHeight="1" x14ac:dyDescent="0.15">
      <c r="B14" s="85"/>
      <c r="C14" s="85"/>
      <c r="D14" s="85"/>
      <c r="E14" s="85"/>
      <c r="F14" s="89" t="s">
        <v>48</v>
      </c>
      <c r="G14" s="85"/>
      <c r="H14" s="85"/>
      <c r="I14" s="85"/>
      <c r="J14" s="85"/>
      <c r="K14" s="85"/>
      <c r="L14" s="85"/>
      <c r="M14" s="85"/>
      <c r="N14" s="85"/>
      <c r="O14" s="85"/>
      <c r="P14" s="90"/>
      <c r="Q14" s="85"/>
      <c r="R14" s="85"/>
      <c r="S14" s="85"/>
      <c r="T14" s="85"/>
      <c r="U14" s="85"/>
      <c r="V14" s="85"/>
      <c r="W14" s="85"/>
    </row>
    <row r="15" spans="1:23" ht="15.75" customHeight="1" x14ac:dyDescent="0.15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</row>
    <row r="16" spans="1:23" ht="15.75" customHeight="1" x14ac:dyDescent="0.15"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</row>
    <row r="17" spans="1:23" ht="15.75" customHeight="1" x14ac:dyDescent="0.15"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</row>
    <row r="18" spans="1:23" ht="15.75" customHeight="1" x14ac:dyDescent="0.15"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</row>
    <row r="19" spans="1:23" ht="15.75" customHeight="1" x14ac:dyDescent="0.15">
      <c r="A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</row>
    <row r="20" spans="1:23" ht="15.75" customHeight="1" x14ac:dyDescent="0.15">
      <c r="A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</row>
    <row r="21" spans="1:23" ht="15.75" customHeight="1" x14ac:dyDescent="0.15">
      <c r="A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</row>
    <row r="22" spans="1:23" ht="15.75" customHeight="1" x14ac:dyDescent="0.15">
      <c r="A22" s="85"/>
      <c r="C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</row>
    <row r="23" spans="1:23" ht="15.75" customHeight="1" x14ac:dyDescent="0.15">
      <c r="A23" s="85"/>
      <c r="C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</row>
    <row r="24" spans="1:23" ht="15.75" customHeight="1" x14ac:dyDescent="0.15">
      <c r="A24" s="85"/>
      <c r="C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</row>
    <row r="25" spans="1:23" ht="15.75" customHeight="1" x14ac:dyDescent="0.15">
      <c r="A25" s="85"/>
      <c r="B25" s="85"/>
      <c r="C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</row>
    <row r="26" spans="1:23" ht="15.75" customHeight="1" x14ac:dyDescent="0.15">
      <c r="A26" s="85"/>
      <c r="B26" s="85"/>
      <c r="C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</row>
    <row r="27" spans="1:23" ht="15.75" customHeight="1" x14ac:dyDescent="0.15">
      <c r="A27" s="85"/>
      <c r="B27" s="85"/>
      <c r="C27" s="85"/>
      <c r="E27" s="85"/>
      <c r="F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</row>
    <row r="28" spans="1:23" ht="15.75" customHeight="1" x14ac:dyDescent="0.15">
      <c r="A28" s="85"/>
      <c r="C28" s="85"/>
      <c r="E28" s="85"/>
      <c r="F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</row>
    <row r="29" spans="1:23" ht="15.75" customHeight="1" x14ac:dyDescent="0.15">
      <c r="A29" s="85"/>
      <c r="C29" s="85"/>
      <c r="E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</row>
    <row r="30" spans="1:23" ht="15.75" customHeight="1" x14ac:dyDescent="0.15">
      <c r="A30" s="85"/>
      <c r="C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</row>
    <row r="31" spans="1:23" ht="15.75" customHeight="1" x14ac:dyDescent="0.15">
      <c r="A31" s="85"/>
      <c r="C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</row>
    <row r="32" spans="1:23" ht="15.75" customHeight="1" x14ac:dyDescent="0.15">
      <c r="A32" s="85"/>
      <c r="C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</row>
    <row r="33" spans="1:23" ht="15.75" customHeight="1" x14ac:dyDescent="0.15">
      <c r="A33" s="85"/>
      <c r="C33" s="85"/>
      <c r="H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</row>
    <row r="34" spans="1:23" ht="15.75" customHeight="1" x14ac:dyDescent="0.15">
      <c r="A34" s="85"/>
      <c r="C34" s="85"/>
      <c r="D34" s="85"/>
      <c r="G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</row>
    <row r="35" spans="1:23" ht="15.75" customHeight="1" x14ac:dyDescent="0.15">
      <c r="A35" s="85"/>
      <c r="C35" s="85"/>
      <c r="D35" s="85"/>
      <c r="G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</row>
    <row r="36" spans="1:23" ht="15.75" customHeight="1" x14ac:dyDescent="0.15">
      <c r="A36" s="85"/>
      <c r="C36" s="85"/>
      <c r="D36" s="85"/>
      <c r="G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</row>
    <row r="37" spans="1:23" ht="15.75" customHeight="1" x14ac:dyDescent="0.15">
      <c r="A37" s="85"/>
      <c r="B37" s="85"/>
      <c r="C37" s="85"/>
      <c r="D37" s="85"/>
      <c r="G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</row>
    <row r="38" spans="1:23" ht="15.75" customHeight="1" x14ac:dyDescent="0.15">
      <c r="A38" s="85"/>
      <c r="B38" s="85"/>
      <c r="D38" s="85"/>
      <c r="G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</row>
    <row r="39" spans="1:23" ht="15.75" customHeight="1" x14ac:dyDescent="0.15">
      <c r="A39" s="85"/>
      <c r="B39" s="85"/>
      <c r="D39" s="85"/>
      <c r="F39" s="85"/>
      <c r="G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</row>
    <row r="40" spans="1:23" ht="15.75" customHeight="1" x14ac:dyDescent="0.15">
      <c r="A40" s="85"/>
      <c r="B40" s="85"/>
      <c r="D40" s="85"/>
      <c r="E40" s="85"/>
      <c r="F40" s="85"/>
      <c r="G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</row>
    <row r="41" spans="1:23" ht="15.75" customHeight="1" x14ac:dyDescent="0.15">
      <c r="A41" s="85"/>
      <c r="B41" s="85"/>
      <c r="D41" s="85"/>
      <c r="E41" s="85"/>
      <c r="F41" s="85"/>
      <c r="G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</row>
    <row r="42" spans="1:23" ht="15.75" customHeight="1" x14ac:dyDescent="0.15">
      <c r="A42" s="85"/>
      <c r="B42" s="85"/>
      <c r="D42" s="85"/>
      <c r="E42" s="85"/>
      <c r="F42" s="85"/>
      <c r="G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</row>
    <row r="43" spans="1:23" ht="15.75" customHeight="1" x14ac:dyDescent="0.15">
      <c r="A43" s="85"/>
      <c r="B43" s="85"/>
      <c r="D43" s="85"/>
      <c r="E43" s="85"/>
      <c r="F43" s="85"/>
      <c r="G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</row>
    <row r="44" spans="1:23" ht="15.75" customHeight="1" x14ac:dyDescent="0.15">
      <c r="A44" s="85"/>
      <c r="B44" s="85"/>
      <c r="D44" s="85"/>
      <c r="E44" s="85"/>
      <c r="F44" s="85"/>
      <c r="G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</row>
    <row r="45" spans="1:23" ht="15.75" customHeight="1" x14ac:dyDescent="0.15">
      <c r="A45" s="85"/>
      <c r="B45" s="85"/>
      <c r="D45" s="85"/>
      <c r="E45" s="85"/>
      <c r="F45" s="85"/>
      <c r="G45" s="85"/>
      <c r="I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</row>
    <row r="46" spans="1:23" ht="15.75" customHeight="1" x14ac:dyDescent="0.15">
      <c r="A46" s="85"/>
      <c r="B46" s="85"/>
      <c r="D46" s="85"/>
      <c r="E46" s="85"/>
      <c r="F46" s="85"/>
      <c r="G46" s="85"/>
      <c r="I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</row>
    <row r="47" spans="1:23" ht="15.75" customHeight="1" x14ac:dyDescent="0.15">
      <c r="A47" s="85"/>
      <c r="B47" s="85"/>
      <c r="D47" s="85"/>
      <c r="E47" s="85"/>
      <c r="F47" s="85"/>
      <c r="G47" s="85"/>
      <c r="H47" s="85"/>
      <c r="I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</row>
    <row r="48" spans="1:23" ht="15.75" customHeight="1" x14ac:dyDescent="0.15">
      <c r="A48" s="85"/>
      <c r="B48" s="85"/>
      <c r="D48" s="85"/>
      <c r="E48" s="85"/>
      <c r="F48" s="85"/>
      <c r="G48" s="85"/>
      <c r="H48" s="85"/>
      <c r="I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</row>
    <row r="49" spans="1:23" ht="15.75" customHeight="1" x14ac:dyDescent="0.15">
      <c r="A49" s="85"/>
      <c r="B49" s="85"/>
      <c r="D49" s="85"/>
      <c r="E49" s="85"/>
      <c r="F49" s="85"/>
      <c r="G49" s="85"/>
      <c r="H49" s="85"/>
      <c r="I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</row>
    <row r="50" spans="1:23" ht="15.75" customHeight="1" x14ac:dyDescent="0.15">
      <c r="A50" s="85"/>
      <c r="B50" s="85"/>
      <c r="D50" s="85"/>
      <c r="E50" s="85"/>
      <c r="F50" s="85"/>
      <c r="G50" s="85"/>
      <c r="H50" s="85"/>
      <c r="I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</row>
    <row r="51" spans="1:23" ht="15.75" customHeight="1" x14ac:dyDescent="0.15">
      <c r="A51" s="85"/>
      <c r="B51" s="85"/>
      <c r="D51" s="85"/>
      <c r="E51" s="85"/>
      <c r="F51" s="85"/>
      <c r="G51" s="85"/>
      <c r="H51" s="85"/>
      <c r="I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</row>
    <row r="52" spans="1:23" ht="15.75" customHeight="1" x14ac:dyDescent="0.15">
      <c r="A52" s="85"/>
      <c r="B52" s="85"/>
      <c r="D52" s="85"/>
      <c r="E52" s="85"/>
      <c r="F52" s="85"/>
      <c r="G52" s="85"/>
      <c r="H52" s="85"/>
      <c r="I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</row>
    <row r="53" spans="1:23" ht="15.75" customHeight="1" x14ac:dyDescent="0.15">
      <c r="A53" s="85"/>
      <c r="B53" s="85"/>
      <c r="D53" s="85"/>
      <c r="E53" s="85"/>
      <c r="F53" s="85"/>
      <c r="G53" s="85"/>
      <c r="H53" s="85"/>
      <c r="I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  <row r="54" spans="1:23" ht="15.75" customHeight="1" x14ac:dyDescent="0.15">
      <c r="A54" s="85"/>
      <c r="B54" s="85"/>
      <c r="C54" s="85"/>
      <c r="D54" s="85"/>
      <c r="E54" s="85"/>
      <c r="F54" s="85"/>
      <c r="G54" s="85"/>
      <c r="H54" s="85"/>
      <c r="I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</row>
    <row r="55" spans="1:23" ht="13" x14ac:dyDescent="0.15">
      <c r="A55" s="85"/>
      <c r="B55" s="85"/>
      <c r="C55" s="85"/>
      <c r="D55" s="85"/>
      <c r="E55" s="85"/>
      <c r="F55" s="85"/>
      <c r="G55" s="85"/>
      <c r="H55" s="85"/>
      <c r="I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</row>
    <row r="56" spans="1:23" ht="13" x14ac:dyDescent="0.15">
      <c r="A56" s="85"/>
      <c r="B56" s="85"/>
      <c r="C56" s="85"/>
      <c r="D56" s="85"/>
      <c r="E56" s="85"/>
      <c r="F56" s="85"/>
      <c r="G56" s="85"/>
      <c r="H56" s="85"/>
      <c r="I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</row>
    <row r="57" spans="1:23" ht="13" x14ac:dyDescent="0.15">
      <c r="A57" s="85"/>
      <c r="B57" s="85"/>
      <c r="C57" s="85"/>
      <c r="D57" s="85"/>
      <c r="E57" s="85"/>
      <c r="F57" s="85"/>
      <c r="G57" s="85"/>
      <c r="H57" s="85"/>
      <c r="I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</row>
    <row r="58" spans="1:23" ht="13" x14ac:dyDescent="0.15">
      <c r="A58" s="85"/>
      <c r="B58" s="85"/>
      <c r="C58" s="85"/>
      <c r="D58" s="85"/>
      <c r="E58" s="85"/>
      <c r="F58" s="85"/>
      <c r="G58" s="85"/>
      <c r="H58" s="85"/>
      <c r="I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</row>
    <row r="59" spans="1:23" ht="13" x14ac:dyDescent="0.15">
      <c r="A59" s="85"/>
      <c r="B59" s="85"/>
      <c r="C59" s="85"/>
      <c r="D59" s="85"/>
      <c r="E59" s="85"/>
      <c r="F59" s="85"/>
      <c r="G59" s="85"/>
      <c r="H59" s="85"/>
      <c r="I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</row>
    <row r="60" spans="1:23" ht="13" x14ac:dyDescent="0.15">
      <c r="A60" s="85"/>
      <c r="B60" s="85"/>
      <c r="C60" s="85"/>
      <c r="D60" s="85"/>
      <c r="E60" s="85"/>
      <c r="F60" s="85"/>
      <c r="G60" s="85"/>
      <c r="H60" s="85"/>
      <c r="I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</row>
    <row r="61" spans="1:23" ht="13" x14ac:dyDescent="0.1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</row>
    <row r="62" spans="1:23" ht="13" x14ac:dyDescent="0.1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</row>
    <row r="63" spans="1:23" ht="13" x14ac:dyDescent="0.1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</row>
    <row r="64" spans="1:23" ht="13" x14ac:dyDescent="0.1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</row>
    <row r="65" spans="1:23" ht="13" x14ac:dyDescent="0.1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</row>
    <row r="66" spans="1:23" ht="13" x14ac:dyDescent="0.1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</row>
    <row r="67" spans="1:23" ht="13" x14ac:dyDescent="0.1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</row>
    <row r="68" spans="1:23" ht="13" x14ac:dyDescent="0.1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</row>
    <row r="69" spans="1:23" ht="13" x14ac:dyDescent="0.1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</row>
    <row r="70" spans="1:23" ht="13" x14ac:dyDescent="0.1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</row>
    <row r="71" spans="1:23" ht="13" x14ac:dyDescent="0.1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</row>
    <row r="72" spans="1:23" ht="13" x14ac:dyDescent="0.1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</row>
    <row r="73" spans="1:23" ht="13" x14ac:dyDescent="0.1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</row>
    <row r="74" spans="1:23" ht="13" x14ac:dyDescent="0.1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</row>
    <row r="75" spans="1:23" ht="13" x14ac:dyDescent="0.1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</row>
    <row r="76" spans="1:23" ht="13" x14ac:dyDescent="0.1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</row>
    <row r="77" spans="1:23" ht="13" x14ac:dyDescent="0.1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</row>
    <row r="78" spans="1:23" ht="13" x14ac:dyDescent="0.1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</row>
    <row r="79" spans="1:23" ht="13" x14ac:dyDescent="0.1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</row>
    <row r="80" spans="1:23" ht="13" x14ac:dyDescent="0.1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</row>
    <row r="81" spans="1:23" ht="13" x14ac:dyDescent="0.1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</row>
    <row r="82" spans="1:23" ht="13" x14ac:dyDescent="0.1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</row>
    <row r="83" spans="1:23" ht="13" x14ac:dyDescent="0.1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</row>
    <row r="84" spans="1:23" ht="13" x14ac:dyDescent="0.1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</row>
    <row r="85" spans="1:23" ht="13" x14ac:dyDescent="0.1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</row>
    <row r="86" spans="1:23" ht="13" x14ac:dyDescent="0.1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</row>
    <row r="87" spans="1:23" ht="13" x14ac:dyDescent="0.1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</row>
    <row r="88" spans="1:23" ht="13" x14ac:dyDescent="0.1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</row>
    <row r="89" spans="1:23" ht="13" x14ac:dyDescent="0.1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</row>
    <row r="90" spans="1:23" ht="13" x14ac:dyDescent="0.1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</row>
    <row r="91" spans="1:23" ht="13" x14ac:dyDescent="0.1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</row>
    <row r="92" spans="1:23" ht="13" x14ac:dyDescent="0.1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</row>
    <row r="93" spans="1:23" ht="13" x14ac:dyDescent="0.1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</row>
    <row r="94" spans="1:23" ht="13" x14ac:dyDescent="0.1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</row>
    <row r="95" spans="1:23" ht="13" x14ac:dyDescent="0.1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</row>
    <row r="96" spans="1:23" ht="13" x14ac:dyDescent="0.1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</row>
    <row r="97" spans="1:23" ht="13" x14ac:dyDescent="0.1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</row>
    <row r="98" spans="1:23" ht="13" x14ac:dyDescent="0.1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</row>
    <row r="99" spans="1:23" ht="13" x14ac:dyDescent="0.1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</row>
    <row r="100" spans="1:23" ht="13" x14ac:dyDescent="0.1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</row>
    <row r="101" spans="1:23" ht="13" x14ac:dyDescent="0.1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</row>
    <row r="102" spans="1:23" ht="13" x14ac:dyDescent="0.1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</row>
    <row r="103" spans="1:23" ht="13" x14ac:dyDescent="0.1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</row>
    <row r="104" spans="1:23" ht="13" x14ac:dyDescent="0.1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</row>
    <row r="105" spans="1:23" ht="13" x14ac:dyDescent="0.1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</row>
    <row r="106" spans="1:23" ht="13" x14ac:dyDescent="0.1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</row>
    <row r="107" spans="1:23" ht="13" x14ac:dyDescent="0.1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</row>
    <row r="108" spans="1:23" ht="13" x14ac:dyDescent="0.1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</row>
    <row r="109" spans="1:23" ht="13" x14ac:dyDescent="0.1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</row>
    <row r="110" spans="1:23" ht="13" x14ac:dyDescent="0.1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</row>
    <row r="111" spans="1:23" ht="13" x14ac:dyDescent="0.1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</row>
    <row r="112" spans="1:23" ht="13" x14ac:dyDescent="0.1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</row>
    <row r="113" spans="1:23" ht="13" x14ac:dyDescent="0.1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</row>
    <row r="114" spans="1:23" ht="13" x14ac:dyDescent="0.1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</row>
    <row r="115" spans="1:23" ht="13" x14ac:dyDescent="0.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</row>
    <row r="116" spans="1:23" ht="13" x14ac:dyDescent="0.1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</row>
    <row r="117" spans="1:23" ht="13" x14ac:dyDescent="0.1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</row>
    <row r="118" spans="1:23" ht="13" x14ac:dyDescent="0.1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</row>
    <row r="119" spans="1:23" ht="13" x14ac:dyDescent="0.1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</row>
    <row r="120" spans="1:23" ht="13" x14ac:dyDescent="0.1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</row>
    <row r="121" spans="1:23" ht="13" x14ac:dyDescent="0.1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</row>
    <row r="122" spans="1:23" ht="13" x14ac:dyDescent="0.1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</row>
    <row r="123" spans="1:23" ht="13" x14ac:dyDescent="0.1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</row>
    <row r="124" spans="1:23" ht="13" x14ac:dyDescent="0.1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</row>
    <row r="125" spans="1:23" ht="13" x14ac:dyDescent="0.1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</row>
    <row r="126" spans="1:23" ht="13" x14ac:dyDescent="0.1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</row>
    <row r="127" spans="1:23" ht="13" x14ac:dyDescent="0.1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</row>
    <row r="128" spans="1:23" ht="13" x14ac:dyDescent="0.1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</row>
    <row r="129" spans="1:23" ht="13" x14ac:dyDescent="0.1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</row>
    <row r="130" spans="1:23" ht="13" x14ac:dyDescent="0.1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</row>
    <row r="131" spans="1:23" ht="13" x14ac:dyDescent="0.1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</row>
    <row r="132" spans="1:23" ht="13" x14ac:dyDescent="0.1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</row>
    <row r="133" spans="1:23" ht="13" x14ac:dyDescent="0.1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</row>
    <row r="134" spans="1:23" ht="13" x14ac:dyDescent="0.1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</row>
    <row r="135" spans="1:23" ht="13" x14ac:dyDescent="0.1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</row>
    <row r="136" spans="1:23" ht="13" x14ac:dyDescent="0.1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</row>
    <row r="137" spans="1:23" ht="13" x14ac:dyDescent="0.1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</row>
    <row r="138" spans="1:23" ht="13" x14ac:dyDescent="0.1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</row>
    <row r="139" spans="1:23" ht="13" x14ac:dyDescent="0.1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</row>
    <row r="140" spans="1:23" ht="13" x14ac:dyDescent="0.1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</row>
    <row r="141" spans="1:23" ht="13" x14ac:dyDescent="0.1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</row>
    <row r="142" spans="1:23" ht="13" x14ac:dyDescent="0.1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</row>
    <row r="143" spans="1:23" ht="13" x14ac:dyDescent="0.1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</row>
    <row r="144" spans="1:23" ht="13" x14ac:dyDescent="0.1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</row>
    <row r="145" spans="1:23" ht="13" x14ac:dyDescent="0.1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</row>
    <row r="146" spans="1:23" ht="13" x14ac:dyDescent="0.1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</row>
    <row r="147" spans="1:23" ht="13" x14ac:dyDescent="0.1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</row>
    <row r="148" spans="1:23" ht="13" x14ac:dyDescent="0.1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</row>
    <row r="149" spans="1:23" ht="13" x14ac:dyDescent="0.1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</row>
    <row r="150" spans="1:23" ht="13" x14ac:dyDescent="0.1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</row>
    <row r="151" spans="1:23" ht="13" x14ac:dyDescent="0.1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</row>
    <row r="152" spans="1:23" ht="13" x14ac:dyDescent="0.1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</row>
    <row r="153" spans="1:23" ht="13" x14ac:dyDescent="0.1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</row>
    <row r="154" spans="1:23" ht="13" x14ac:dyDescent="0.1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</row>
    <row r="155" spans="1:23" ht="13" x14ac:dyDescent="0.1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</row>
    <row r="156" spans="1:23" ht="13" x14ac:dyDescent="0.1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</row>
    <row r="157" spans="1:23" ht="13" x14ac:dyDescent="0.1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</row>
    <row r="158" spans="1:23" ht="13" x14ac:dyDescent="0.1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</row>
    <row r="159" spans="1:23" ht="13" x14ac:dyDescent="0.1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</row>
    <row r="160" spans="1:23" ht="13" x14ac:dyDescent="0.1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</row>
    <row r="161" spans="1:23" ht="13" x14ac:dyDescent="0.1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</row>
    <row r="162" spans="1:23" ht="13" x14ac:dyDescent="0.1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</row>
    <row r="163" spans="1:23" ht="13" x14ac:dyDescent="0.1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</row>
    <row r="164" spans="1:23" ht="13" x14ac:dyDescent="0.1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</row>
    <row r="165" spans="1:23" ht="13" x14ac:dyDescent="0.1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</row>
    <row r="166" spans="1:23" ht="13" x14ac:dyDescent="0.1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</row>
    <row r="167" spans="1:23" ht="13" x14ac:dyDescent="0.1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</row>
    <row r="168" spans="1:23" ht="13" x14ac:dyDescent="0.1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</row>
    <row r="169" spans="1:23" ht="13" x14ac:dyDescent="0.1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</row>
    <row r="170" spans="1:23" ht="13" x14ac:dyDescent="0.1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</row>
    <row r="171" spans="1:23" ht="13" x14ac:dyDescent="0.1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</row>
    <row r="172" spans="1:23" ht="13" x14ac:dyDescent="0.1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</row>
    <row r="173" spans="1:23" ht="13" x14ac:dyDescent="0.1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</row>
    <row r="174" spans="1:23" ht="13" x14ac:dyDescent="0.1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</row>
    <row r="175" spans="1:23" ht="13" x14ac:dyDescent="0.1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</row>
    <row r="176" spans="1:23" ht="13" x14ac:dyDescent="0.1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</row>
    <row r="177" spans="1:23" ht="13" x14ac:dyDescent="0.1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</row>
    <row r="178" spans="1:23" ht="13" x14ac:dyDescent="0.1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</row>
    <row r="179" spans="1:23" ht="13" x14ac:dyDescent="0.1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</row>
    <row r="180" spans="1:23" ht="13" x14ac:dyDescent="0.1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</row>
    <row r="181" spans="1:23" ht="13" x14ac:dyDescent="0.1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</row>
    <row r="182" spans="1:23" ht="13" x14ac:dyDescent="0.1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</row>
    <row r="183" spans="1:23" ht="13" x14ac:dyDescent="0.1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</row>
    <row r="184" spans="1:23" ht="13" x14ac:dyDescent="0.1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</row>
    <row r="185" spans="1:23" ht="13" x14ac:dyDescent="0.1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</row>
    <row r="186" spans="1:23" ht="13" x14ac:dyDescent="0.1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</row>
    <row r="187" spans="1:23" ht="13" x14ac:dyDescent="0.1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</row>
    <row r="188" spans="1:23" ht="13" x14ac:dyDescent="0.1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</row>
    <row r="189" spans="1:23" ht="13" x14ac:dyDescent="0.1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</row>
    <row r="190" spans="1:23" ht="13" x14ac:dyDescent="0.1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</row>
    <row r="191" spans="1:23" ht="13" x14ac:dyDescent="0.1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</row>
    <row r="192" spans="1:23" ht="13" x14ac:dyDescent="0.1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</row>
    <row r="193" spans="1:23" ht="13" x14ac:dyDescent="0.1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</row>
    <row r="194" spans="1:23" ht="13" x14ac:dyDescent="0.1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</row>
    <row r="195" spans="1:23" ht="13" x14ac:dyDescent="0.1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</row>
    <row r="196" spans="1:23" ht="13" x14ac:dyDescent="0.1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</row>
    <row r="197" spans="1:23" ht="13" x14ac:dyDescent="0.1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</row>
    <row r="198" spans="1:23" ht="13" x14ac:dyDescent="0.1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</row>
    <row r="199" spans="1:23" ht="13" x14ac:dyDescent="0.1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</row>
    <row r="200" spans="1:23" ht="13" x14ac:dyDescent="0.1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</row>
    <row r="201" spans="1:23" ht="13" x14ac:dyDescent="0.1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</row>
    <row r="202" spans="1:23" ht="13" x14ac:dyDescent="0.1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</row>
    <row r="203" spans="1:23" ht="13" x14ac:dyDescent="0.1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</row>
    <row r="204" spans="1:23" ht="13" x14ac:dyDescent="0.1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</row>
    <row r="205" spans="1:23" ht="13" x14ac:dyDescent="0.1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</row>
    <row r="206" spans="1:23" ht="13" x14ac:dyDescent="0.1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</row>
    <row r="207" spans="1:23" ht="13" x14ac:dyDescent="0.1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</row>
    <row r="208" spans="1:23" ht="13" x14ac:dyDescent="0.1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</row>
    <row r="209" spans="1:23" ht="13" x14ac:dyDescent="0.1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</row>
    <row r="210" spans="1:23" ht="13" x14ac:dyDescent="0.1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</row>
    <row r="211" spans="1:23" ht="13" x14ac:dyDescent="0.1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</row>
    <row r="212" spans="1:23" ht="13" x14ac:dyDescent="0.1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</row>
    <row r="213" spans="1:23" ht="13" x14ac:dyDescent="0.1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</row>
    <row r="214" spans="1:23" ht="13" x14ac:dyDescent="0.1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</row>
    <row r="215" spans="1:23" ht="13" x14ac:dyDescent="0.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</row>
    <row r="216" spans="1:23" ht="13" x14ac:dyDescent="0.1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</row>
    <row r="217" spans="1:23" ht="13" x14ac:dyDescent="0.1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</row>
    <row r="218" spans="1:23" ht="13" x14ac:dyDescent="0.1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</row>
    <row r="219" spans="1:23" ht="13" x14ac:dyDescent="0.1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</row>
    <row r="220" spans="1:23" ht="13" x14ac:dyDescent="0.1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</row>
    <row r="221" spans="1:23" ht="13" x14ac:dyDescent="0.1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</row>
    <row r="222" spans="1:23" ht="13" x14ac:dyDescent="0.1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</row>
    <row r="223" spans="1:23" ht="13" x14ac:dyDescent="0.1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</row>
    <row r="224" spans="1:23" ht="13" x14ac:dyDescent="0.1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</row>
    <row r="225" spans="1:23" ht="13" x14ac:dyDescent="0.1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</row>
    <row r="226" spans="1:23" ht="13" x14ac:dyDescent="0.1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</row>
    <row r="227" spans="1:23" ht="13" x14ac:dyDescent="0.1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</row>
    <row r="228" spans="1:23" ht="13" x14ac:dyDescent="0.1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</row>
    <row r="229" spans="1:23" ht="13" x14ac:dyDescent="0.1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</row>
    <row r="230" spans="1:23" ht="13" x14ac:dyDescent="0.1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</row>
    <row r="231" spans="1:23" ht="13" x14ac:dyDescent="0.1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</row>
    <row r="232" spans="1:23" ht="13" x14ac:dyDescent="0.1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</row>
    <row r="233" spans="1:23" ht="13" x14ac:dyDescent="0.1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</row>
    <row r="234" spans="1:23" ht="13" x14ac:dyDescent="0.1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</row>
    <row r="235" spans="1:23" ht="13" x14ac:dyDescent="0.1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</row>
    <row r="236" spans="1:23" ht="13" x14ac:dyDescent="0.1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</row>
    <row r="237" spans="1:23" ht="13" x14ac:dyDescent="0.1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</row>
    <row r="238" spans="1:23" ht="13" x14ac:dyDescent="0.1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</row>
    <row r="239" spans="1:23" ht="13" x14ac:dyDescent="0.1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</row>
    <row r="240" spans="1:23" ht="13" x14ac:dyDescent="0.1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</row>
    <row r="241" spans="1:23" ht="13" x14ac:dyDescent="0.1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</row>
    <row r="242" spans="1:23" ht="13" x14ac:dyDescent="0.1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</row>
    <row r="243" spans="1:23" ht="13" x14ac:dyDescent="0.1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</row>
    <row r="244" spans="1:23" ht="13" x14ac:dyDescent="0.1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</row>
    <row r="245" spans="1:23" ht="13" x14ac:dyDescent="0.1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</row>
    <row r="246" spans="1:23" ht="13" x14ac:dyDescent="0.1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</row>
    <row r="247" spans="1:23" ht="13" x14ac:dyDescent="0.1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</row>
    <row r="248" spans="1:23" ht="13" x14ac:dyDescent="0.1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</row>
    <row r="249" spans="1:23" ht="13" x14ac:dyDescent="0.1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</row>
    <row r="250" spans="1:23" ht="13" x14ac:dyDescent="0.1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</row>
    <row r="251" spans="1:23" ht="13" x14ac:dyDescent="0.1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</row>
    <row r="252" spans="1:23" ht="13" x14ac:dyDescent="0.1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</row>
    <row r="253" spans="1:23" ht="13" x14ac:dyDescent="0.1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</row>
    <row r="254" spans="1:23" ht="13" x14ac:dyDescent="0.1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</row>
    <row r="255" spans="1:23" ht="13" x14ac:dyDescent="0.1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</row>
    <row r="256" spans="1:23" ht="13" x14ac:dyDescent="0.1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</row>
    <row r="257" spans="1:23" ht="13" x14ac:dyDescent="0.1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</row>
    <row r="258" spans="1:23" ht="13" x14ac:dyDescent="0.1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</row>
    <row r="259" spans="1:23" ht="13" x14ac:dyDescent="0.1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</row>
    <row r="260" spans="1:23" ht="13" x14ac:dyDescent="0.1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</row>
    <row r="261" spans="1:23" ht="13" x14ac:dyDescent="0.1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</row>
    <row r="262" spans="1:23" ht="13" x14ac:dyDescent="0.1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</row>
    <row r="263" spans="1:23" ht="13" x14ac:dyDescent="0.1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</row>
    <row r="264" spans="1:23" ht="13" x14ac:dyDescent="0.1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</row>
    <row r="265" spans="1:23" ht="13" x14ac:dyDescent="0.1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</row>
    <row r="266" spans="1:23" ht="13" x14ac:dyDescent="0.1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</row>
    <row r="267" spans="1:23" ht="13" x14ac:dyDescent="0.1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</row>
    <row r="268" spans="1:23" ht="13" x14ac:dyDescent="0.1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</row>
    <row r="269" spans="1:23" ht="13" x14ac:dyDescent="0.1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</row>
    <row r="270" spans="1:23" ht="13" x14ac:dyDescent="0.1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</row>
    <row r="271" spans="1:23" ht="13" x14ac:dyDescent="0.1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</row>
    <row r="272" spans="1:23" ht="13" x14ac:dyDescent="0.1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</row>
    <row r="273" spans="1:23" ht="13" x14ac:dyDescent="0.1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</row>
    <row r="274" spans="1:23" ht="13" x14ac:dyDescent="0.1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</row>
    <row r="275" spans="1:23" ht="13" x14ac:dyDescent="0.1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</row>
    <row r="276" spans="1:23" ht="13" x14ac:dyDescent="0.1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</row>
    <row r="277" spans="1:23" ht="13" x14ac:dyDescent="0.1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</row>
    <row r="278" spans="1:23" ht="13" x14ac:dyDescent="0.1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</row>
    <row r="279" spans="1:23" ht="13" x14ac:dyDescent="0.1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</row>
    <row r="280" spans="1:23" ht="13" x14ac:dyDescent="0.1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</row>
    <row r="281" spans="1:23" ht="13" x14ac:dyDescent="0.1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</row>
    <row r="282" spans="1:23" ht="13" x14ac:dyDescent="0.1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</row>
    <row r="283" spans="1:23" ht="13" x14ac:dyDescent="0.1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</row>
    <row r="284" spans="1:23" ht="13" x14ac:dyDescent="0.1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</row>
    <row r="285" spans="1:23" ht="13" x14ac:dyDescent="0.1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</row>
    <row r="286" spans="1:23" ht="13" x14ac:dyDescent="0.1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</row>
    <row r="287" spans="1:23" ht="13" x14ac:dyDescent="0.1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</row>
    <row r="288" spans="1:23" ht="13" x14ac:dyDescent="0.1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</row>
    <row r="289" spans="1:23" ht="13" x14ac:dyDescent="0.1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</row>
    <row r="290" spans="1:23" ht="13" x14ac:dyDescent="0.1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</row>
    <row r="291" spans="1:23" ht="13" x14ac:dyDescent="0.1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</row>
    <row r="292" spans="1:23" ht="13" x14ac:dyDescent="0.1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</row>
    <row r="293" spans="1:23" ht="13" x14ac:dyDescent="0.1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</row>
    <row r="294" spans="1:23" ht="13" x14ac:dyDescent="0.1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</row>
    <row r="295" spans="1:23" ht="13" x14ac:dyDescent="0.1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</row>
    <row r="296" spans="1:23" ht="13" x14ac:dyDescent="0.1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</row>
    <row r="297" spans="1:23" ht="13" x14ac:dyDescent="0.1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</row>
    <row r="298" spans="1:23" ht="13" x14ac:dyDescent="0.1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</row>
    <row r="299" spans="1:23" ht="13" x14ac:dyDescent="0.1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</row>
    <row r="300" spans="1:23" ht="13" x14ac:dyDescent="0.1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</row>
    <row r="301" spans="1:23" ht="13" x14ac:dyDescent="0.1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</row>
    <row r="302" spans="1:23" ht="13" x14ac:dyDescent="0.1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</row>
    <row r="303" spans="1:23" ht="13" x14ac:dyDescent="0.1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</row>
    <row r="304" spans="1:23" ht="13" x14ac:dyDescent="0.1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</row>
    <row r="305" spans="1:23" ht="13" x14ac:dyDescent="0.1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</row>
    <row r="306" spans="1:23" ht="13" x14ac:dyDescent="0.1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</row>
    <row r="307" spans="1:23" ht="13" x14ac:dyDescent="0.1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</row>
    <row r="308" spans="1:23" ht="13" x14ac:dyDescent="0.1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</row>
    <row r="309" spans="1:23" ht="13" x14ac:dyDescent="0.1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</row>
    <row r="310" spans="1:23" ht="13" x14ac:dyDescent="0.1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</row>
    <row r="311" spans="1:23" ht="13" x14ac:dyDescent="0.1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</row>
    <row r="312" spans="1:23" ht="13" x14ac:dyDescent="0.1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</row>
    <row r="313" spans="1:23" ht="13" x14ac:dyDescent="0.1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</row>
    <row r="314" spans="1:23" ht="13" x14ac:dyDescent="0.1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</row>
    <row r="315" spans="1:23" ht="13" x14ac:dyDescent="0.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</row>
    <row r="316" spans="1:23" ht="13" x14ac:dyDescent="0.1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</row>
    <row r="317" spans="1:23" ht="13" x14ac:dyDescent="0.1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</row>
    <row r="318" spans="1:23" ht="13" x14ac:dyDescent="0.1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</row>
    <row r="319" spans="1:23" ht="13" x14ac:dyDescent="0.1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</row>
    <row r="320" spans="1:23" ht="13" x14ac:dyDescent="0.1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</row>
    <row r="321" spans="1:23" ht="13" x14ac:dyDescent="0.1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</row>
    <row r="322" spans="1:23" ht="13" x14ac:dyDescent="0.1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</row>
    <row r="323" spans="1:23" ht="13" x14ac:dyDescent="0.1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</row>
    <row r="324" spans="1:23" ht="13" x14ac:dyDescent="0.1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</row>
    <row r="325" spans="1:23" ht="13" x14ac:dyDescent="0.1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</row>
    <row r="326" spans="1:23" ht="13" x14ac:dyDescent="0.1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</row>
    <row r="327" spans="1:23" ht="13" x14ac:dyDescent="0.1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</row>
    <row r="328" spans="1:23" ht="13" x14ac:dyDescent="0.1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</row>
    <row r="329" spans="1:23" ht="13" x14ac:dyDescent="0.1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</row>
    <row r="330" spans="1:23" ht="13" x14ac:dyDescent="0.1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</row>
    <row r="331" spans="1:23" ht="13" x14ac:dyDescent="0.1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</row>
    <row r="332" spans="1:23" ht="13" x14ac:dyDescent="0.1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</row>
    <row r="333" spans="1:23" ht="13" x14ac:dyDescent="0.1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</row>
    <row r="334" spans="1:23" ht="13" x14ac:dyDescent="0.1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</row>
    <row r="335" spans="1:23" ht="13" x14ac:dyDescent="0.1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</row>
    <row r="336" spans="1:23" ht="13" x14ac:dyDescent="0.1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</row>
    <row r="337" spans="1:23" ht="13" x14ac:dyDescent="0.1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</row>
    <row r="338" spans="1:23" ht="13" x14ac:dyDescent="0.1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</row>
    <row r="339" spans="1:23" ht="13" x14ac:dyDescent="0.1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</row>
    <row r="340" spans="1:23" ht="13" x14ac:dyDescent="0.1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</row>
    <row r="341" spans="1:23" ht="13" x14ac:dyDescent="0.1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</row>
    <row r="342" spans="1:23" ht="13" x14ac:dyDescent="0.1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</row>
    <row r="343" spans="1:23" ht="13" x14ac:dyDescent="0.1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</row>
    <row r="344" spans="1:23" ht="13" x14ac:dyDescent="0.1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</row>
    <row r="345" spans="1:23" ht="13" x14ac:dyDescent="0.1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</row>
    <row r="346" spans="1:23" ht="13" x14ac:dyDescent="0.1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</row>
    <row r="347" spans="1:23" ht="13" x14ac:dyDescent="0.1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</row>
    <row r="348" spans="1:23" ht="13" x14ac:dyDescent="0.1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</row>
    <row r="349" spans="1:23" ht="13" x14ac:dyDescent="0.1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</row>
    <row r="350" spans="1:23" ht="13" x14ac:dyDescent="0.1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</row>
    <row r="351" spans="1:23" ht="13" x14ac:dyDescent="0.1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</row>
    <row r="352" spans="1:23" ht="13" x14ac:dyDescent="0.1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</row>
    <row r="353" spans="1:23" ht="13" x14ac:dyDescent="0.1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</row>
    <row r="354" spans="1:23" ht="13" x14ac:dyDescent="0.1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</row>
    <row r="355" spans="1:23" ht="13" x14ac:dyDescent="0.1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</row>
    <row r="356" spans="1:23" ht="13" x14ac:dyDescent="0.1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</row>
    <row r="357" spans="1:23" ht="13" x14ac:dyDescent="0.1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</row>
    <row r="358" spans="1:23" ht="13" x14ac:dyDescent="0.1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</row>
    <row r="359" spans="1:23" ht="13" x14ac:dyDescent="0.1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</row>
    <row r="360" spans="1:23" ht="13" x14ac:dyDescent="0.1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</row>
    <row r="361" spans="1:23" ht="13" x14ac:dyDescent="0.1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</row>
    <row r="362" spans="1:23" ht="13" x14ac:dyDescent="0.1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</row>
    <row r="363" spans="1:23" ht="13" x14ac:dyDescent="0.1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</row>
    <row r="364" spans="1:23" ht="13" x14ac:dyDescent="0.1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</row>
    <row r="365" spans="1:23" ht="13" x14ac:dyDescent="0.1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</row>
    <row r="366" spans="1:23" ht="13" x14ac:dyDescent="0.1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</row>
    <row r="367" spans="1:23" ht="13" x14ac:dyDescent="0.1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</row>
    <row r="368" spans="1:23" ht="13" x14ac:dyDescent="0.1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</row>
    <row r="369" spans="1:23" ht="13" x14ac:dyDescent="0.1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</row>
    <row r="370" spans="1:23" ht="13" x14ac:dyDescent="0.1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</row>
    <row r="371" spans="1:23" ht="13" x14ac:dyDescent="0.1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</row>
    <row r="372" spans="1:23" ht="13" x14ac:dyDescent="0.1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</row>
    <row r="373" spans="1:23" ht="13" x14ac:dyDescent="0.1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</row>
    <row r="374" spans="1:23" ht="13" x14ac:dyDescent="0.1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</row>
    <row r="375" spans="1:23" ht="13" x14ac:dyDescent="0.1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</row>
    <row r="376" spans="1:23" ht="13" x14ac:dyDescent="0.1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</row>
    <row r="377" spans="1:23" ht="13" x14ac:dyDescent="0.1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</row>
    <row r="378" spans="1:23" ht="13" x14ac:dyDescent="0.1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</row>
    <row r="379" spans="1:23" ht="13" x14ac:dyDescent="0.1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</row>
    <row r="380" spans="1:23" ht="13" x14ac:dyDescent="0.1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</row>
    <row r="381" spans="1:23" ht="13" x14ac:dyDescent="0.1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</row>
    <row r="382" spans="1:23" ht="13" x14ac:dyDescent="0.1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</row>
    <row r="383" spans="1:23" ht="13" x14ac:dyDescent="0.1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</row>
    <row r="384" spans="1:23" ht="13" x14ac:dyDescent="0.1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</row>
    <row r="385" spans="1:23" ht="13" x14ac:dyDescent="0.1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</row>
    <row r="386" spans="1:23" ht="13" x14ac:dyDescent="0.1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</row>
    <row r="387" spans="1:23" ht="13" x14ac:dyDescent="0.1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</row>
    <row r="388" spans="1:23" ht="13" x14ac:dyDescent="0.1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</row>
    <row r="389" spans="1:23" ht="13" x14ac:dyDescent="0.1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</row>
    <row r="390" spans="1:23" ht="13" x14ac:dyDescent="0.1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</row>
    <row r="391" spans="1:23" ht="13" x14ac:dyDescent="0.1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</row>
    <row r="392" spans="1:23" ht="13" x14ac:dyDescent="0.1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</row>
    <row r="393" spans="1:23" ht="13" x14ac:dyDescent="0.1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</row>
    <row r="394" spans="1:23" ht="13" x14ac:dyDescent="0.1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</row>
    <row r="395" spans="1:23" ht="13" x14ac:dyDescent="0.1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</row>
    <row r="396" spans="1:23" ht="13" x14ac:dyDescent="0.1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</row>
    <row r="397" spans="1:23" ht="13" x14ac:dyDescent="0.1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</row>
    <row r="398" spans="1:23" ht="13" x14ac:dyDescent="0.1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</row>
    <row r="399" spans="1:23" ht="13" x14ac:dyDescent="0.1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</row>
    <row r="400" spans="1:23" ht="13" x14ac:dyDescent="0.1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</row>
    <row r="401" spans="1:23" ht="13" x14ac:dyDescent="0.1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</row>
    <row r="402" spans="1:23" ht="13" x14ac:dyDescent="0.1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</row>
    <row r="403" spans="1:23" ht="13" x14ac:dyDescent="0.1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</row>
    <row r="404" spans="1:23" ht="13" x14ac:dyDescent="0.1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</row>
    <row r="405" spans="1:23" ht="13" x14ac:dyDescent="0.1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</row>
    <row r="406" spans="1:23" ht="13" x14ac:dyDescent="0.1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</row>
    <row r="407" spans="1:23" ht="13" x14ac:dyDescent="0.1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</row>
    <row r="408" spans="1:23" ht="13" x14ac:dyDescent="0.1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</row>
    <row r="409" spans="1:23" ht="13" x14ac:dyDescent="0.1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</row>
    <row r="410" spans="1:23" ht="13" x14ac:dyDescent="0.1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</row>
    <row r="411" spans="1:23" ht="13" x14ac:dyDescent="0.1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</row>
    <row r="412" spans="1:23" ht="13" x14ac:dyDescent="0.1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</row>
    <row r="413" spans="1:23" ht="13" x14ac:dyDescent="0.1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</row>
    <row r="414" spans="1:23" ht="13" x14ac:dyDescent="0.1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</row>
    <row r="415" spans="1:23" ht="13" x14ac:dyDescent="0.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</row>
    <row r="416" spans="1:23" ht="13" x14ac:dyDescent="0.1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</row>
    <row r="417" spans="1:23" ht="13" x14ac:dyDescent="0.1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</row>
    <row r="418" spans="1:23" ht="13" x14ac:dyDescent="0.1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</row>
    <row r="419" spans="1:23" ht="13" x14ac:dyDescent="0.1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</row>
    <row r="420" spans="1:23" ht="13" x14ac:dyDescent="0.1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</row>
    <row r="421" spans="1:23" ht="13" x14ac:dyDescent="0.1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</row>
    <row r="422" spans="1:23" ht="13" x14ac:dyDescent="0.1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</row>
    <row r="423" spans="1:23" ht="13" x14ac:dyDescent="0.1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</row>
    <row r="424" spans="1:23" ht="13" x14ac:dyDescent="0.1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</row>
    <row r="425" spans="1:23" ht="13" x14ac:dyDescent="0.1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</row>
    <row r="426" spans="1:23" ht="13" x14ac:dyDescent="0.1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</row>
    <row r="427" spans="1:23" ht="13" x14ac:dyDescent="0.1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</row>
    <row r="428" spans="1:23" ht="13" x14ac:dyDescent="0.1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</row>
    <row r="429" spans="1:23" ht="13" x14ac:dyDescent="0.1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</row>
    <row r="430" spans="1:23" ht="13" x14ac:dyDescent="0.1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</row>
    <row r="431" spans="1:23" ht="13" x14ac:dyDescent="0.1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</row>
    <row r="432" spans="1:23" ht="13" x14ac:dyDescent="0.1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</row>
    <row r="433" spans="1:23" ht="13" x14ac:dyDescent="0.1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</row>
    <row r="434" spans="1:23" ht="13" x14ac:dyDescent="0.1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</row>
    <row r="435" spans="1:23" ht="13" x14ac:dyDescent="0.1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</row>
    <row r="436" spans="1:23" ht="13" x14ac:dyDescent="0.1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</row>
    <row r="437" spans="1:23" ht="13" x14ac:dyDescent="0.1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</row>
    <row r="438" spans="1:23" ht="13" x14ac:dyDescent="0.1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</row>
    <row r="439" spans="1:23" ht="13" x14ac:dyDescent="0.1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</row>
    <row r="440" spans="1:23" ht="13" x14ac:dyDescent="0.1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</row>
    <row r="441" spans="1:23" ht="13" x14ac:dyDescent="0.1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</row>
    <row r="442" spans="1:23" ht="13" x14ac:dyDescent="0.1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</row>
    <row r="443" spans="1:23" ht="13" x14ac:dyDescent="0.1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</row>
    <row r="444" spans="1:23" ht="13" x14ac:dyDescent="0.1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</row>
    <row r="445" spans="1:23" ht="13" x14ac:dyDescent="0.1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</row>
    <row r="446" spans="1:23" ht="13" x14ac:dyDescent="0.1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</row>
    <row r="447" spans="1:23" ht="13" x14ac:dyDescent="0.1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</row>
    <row r="448" spans="1:23" ht="13" x14ac:dyDescent="0.1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</row>
    <row r="449" spans="1:23" ht="13" x14ac:dyDescent="0.1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</row>
    <row r="450" spans="1:23" ht="13" x14ac:dyDescent="0.1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</row>
    <row r="451" spans="1:23" ht="13" x14ac:dyDescent="0.1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</row>
    <row r="452" spans="1:23" ht="13" x14ac:dyDescent="0.1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</row>
    <row r="453" spans="1:23" ht="13" x14ac:dyDescent="0.1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</row>
    <row r="454" spans="1:23" ht="13" x14ac:dyDescent="0.1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</row>
    <row r="455" spans="1:23" ht="13" x14ac:dyDescent="0.1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</row>
    <row r="456" spans="1:23" ht="13" x14ac:dyDescent="0.1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</row>
    <row r="457" spans="1:23" ht="13" x14ac:dyDescent="0.1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</row>
    <row r="458" spans="1:23" ht="13" x14ac:dyDescent="0.1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</row>
    <row r="459" spans="1:23" ht="13" x14ac:dyDescent="0.1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</row>
    <row r="460" spans="1:23" ht="13" x14ac:dyDescent="0.1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</row>
    <row r="461" spans="1:23" ht="13" x14ac:dyDescent="0.1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</row>
    <row r="462" spans="1:23" ht="13" x14ac:dyDescent="0.1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</row>
    <row r="463" spans="1:23" ht="13" x14ac:dyDescent="0.1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</row>
    <row r="464" spans="1:23" ht="13" x14ac:dyDescent="0.1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</row>
    <row r="465" spans="1:23" ht="13" x14ac:dyDescent="0.1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</row>
    <row r="466" spans="1:23" ht="13" x14ac:dyDescent="0.1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</row>
    <row r="467" spans="1:23" ht="13" x14ac:dyDescent="0.1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</row>
    <row r="468" spans="1:23" ht="13" x14ac:dyDescent="0.1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</row>
    <row r="469" spans="1:23" ht="13" x14ac:dyDescent="0.1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</row>
    <row r="470" spans="1:23" ht="13" x14ac:dyDescent="0.1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</row>
    <row r="471" spans="1:23" ht="13" x14ac:dyDescent="0.1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</row>
    <row r="472" spans="1:23" ht="13" x14ac:dyDescent="0.1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</row>
    <row r="473" spans="1:23" ht="13" x14ac:dyDescent="0.1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</row>
    <row r="474" spans="1:23" ht="13" x14ac:dyDescent="0.1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</row>
    <row r="475" spans="1:23" ht="13" x14ac:dyDescent="0.1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</row>
    <row r="476" spans="1:23" ht="13" x14ac:dyDescent="0.1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</row>
    <row r="477" spans="1:23" ht="13" x14ac:dyDescent="0.1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</row>
    <row r="478" spans="1:23" ht="13" x14ac:dyDescent="0.1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</row>
    <row r="479" spans="1:23" ht="13" x14ac:dyDescent="0.1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</row>
    <row r="480" spans="1:23" ht="13" x14ac:dyDescent="0.1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</row>
    <row r="481" spans="1:23" ht="13" x14ac:dyDescent="0.1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</row>
    <row r="482" spans="1:23" ht="13" x14ac:dyDescent="0.1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</row>
    <row r="483" spans="1:23" ht="13" x14ac:dyDescent="0.1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</row>
    <row r="484" spans="1:23" ht="13" x14ac:dyDescent="0.1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</row>
    <row r="485" spans="1:23" ht="13" x14ac:dyDescent="0.1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</row>
    <row r="486" spans="1:23" ht="13" x14ac:dyDescent="0.1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</row>
    <row r="487" spans="1:23" ht="13" x14ac:dyDescent="0.1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</row>
    <row r="488" spans="1:23" ht="13" x14ac:dyDescent="0.1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</row>
    <row r="489" spans="1:23" ht="13" x14ac:dyDescent="0.1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</row>
    <row r="490" spans="1:23" ht="13" x14ac:dyDescent="0.1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</row>
    <row r="491" spans="1:23" ht="13" x14ac:dyDescent="0.1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</row>
    <row r="492" spans="1:23" ht="13" x14ac:dyDescent="0.1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</row>
    <row r="493" spans="1:23" ht="13" x14ac:dyDescent="0.1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</row>
    <row r="494" spans="1:23" ht="13" x14ac:dyDescent="0.1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</row>
    <row r="495" spans="1:23" ht="13" x14ac:dyDescent="0.1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</row>
    <row r="496" spans="1:23" ht="13" x14ac:dyDescent="0.1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</row>
    <row r="497" spans="1:23" ht="13" x14ac:dyDescent="0.1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</row>
    <row r="498" spans="1:23" ht="13" x14ac:dyDescent="0.1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</row>
    <row r="499" spans="1:23" ht="13" x14ac:dyDescent="0.1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</row>
    <row r="500" spans="1:23" ht="13" x14ac:dyDescent="0.1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</row>
    <row r="501" spans="1:23" ht="13" x14ac:dyDescent="0.1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</row>
    <row r="502" spans="1:23" ht="13" x14ac:dyDescent="0.1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</row>
    <row r="503" spans="1:23" ht="13" x14ac:dyDescent="0.1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</row>
    <row r="504" spans="1:23" ht="13" x14ac:dyDescent="0.1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</row>
    <row r="505" spans="1:23" ht="13" x14ac:dyDescent="0.1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</row>
    <row r="506" spans="1:23" ht="13" x14ac:dyDescent="0.1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</row>
    <row r="507" spans="1:23" ht="13" x14ac:dyDescent="0.1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</row>
    <row r="508" spans="1:23" ht="13" x14ac:dyDescent="0.1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</row>
    <row r="509" spans="1:23" ht="13" x14ac:dyDescent="0.1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</row>
    <row r="510" spans="1:23" ht="13" x14ac:dyDescent="0.1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</row>
    <row r="511" spans="1:23" ht="13" x14ac:dyDescent="0.1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</row>
    <row r="512" spans="1:23" ht="13" x14ac:dyDescent="0.1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</row>
    <row r="513" spans="1:23" ht="13" x14ac:dyDescent="0.1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</row>
    <row r="514" spans="1:23" ht="13" x14ac:dyDescent="0.1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</row>
    <row r="515" spans="1:23" ht="13" x14ac:dyDescent="0.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</row>
    <row r="516" spans="1:23" ht="13" x14ac:dyDescent="0.1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</row>
    <row r="517" spans="1:23" ht="13" x14ac:dyDescent="0.1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</row>
    <row r="518" spans="1:23" ht="13" x14ac:dyDescent="0.1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</row>
    <row r="519" spans="1:23" ht="13" x14ac:dyDescent="0.1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</row>
    <row r="520" spans="1:23" ht="13" x14ac:dyDescent="0.1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</row>
    <row r="521" spans="1:23" ht="13" x14ac:dyDescent="0.1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</row>
    <row r="522" spans="1:23" ht="13" x14ac:dyDescent="0.1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</row>
    <row r="523" spans="1:23" ht="13" x14ac:dyDescent="0.1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</row>
    <row r="524" spans="1:23" ht="13" x14ac:dyDescent="0.1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</row>
    <row r="525" spans="1:23" ht="13" x14ac:dyDescent="0.1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</row>
    <row r="526" spans="1:23" ht="13" x14ac:dyDescent="0.1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</row>
    <row r="527" spans="1:23" ht="13" x14ac:dyDescent="0.1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</row>
    <row r="528" spans="1:23" ht="13" x14ac:dyDescent="0.1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</row>
    <row r="529" spans="1:23" ht="13" x14ac:dyDescent="0.1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</row>
    <row r="530" spans="1:23" ht="13" x14ac:dyDescent="0.1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</row>
    <row r="531" spans="1:23" ht="13" x14ac:dyDescent="0.1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</row>
    <row r="532" spans="1:23" ht="13" x14ac:dyDescent="0.1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</row>
    <row r="533" spans="1:23" ht="13" x14ac:dyDescent="0.1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</row>
    <row r="534" spans="1:23" ht="13" x14ac:dyDescent="0.1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</row>
    <row r="535" spans="1:23" ht="13" x14ac:dyDescent="0.1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</row>
    <row r="536" spans="1:23" ht="13" x14ac:dyDescent="0.1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</row>
    <row r="537" spans="1:23" ht="13" x14ac:dyDescent="0.1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</row>
    <row r="538" spans="1:23" ht="13" x14ac:dyDescent="0.1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</row>
    <row r="539" spans="1:23" ht="13" x14ac:dyDescent="0.1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</row>
    <row r="540" spans="1:23" ht="13" x14ac:dyDescent="0.1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</row>
    <row r="541" spans="1:23" ht="13" x14ac:dyDescent="0.1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</row>
    <row r="542" spans="1:23" ht="13" x14ac:dyDescent="0.1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</row>
    <row r="543" spans="1:23" ht="13" x14ac:dyDescent="0.1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</row>
    <row r="544" spans="1:23" ht="13" x14ac:dyDescent="0.1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</row>
    <row r="545" spans="1:23" ht="13" x14ac:dyDescent="0.1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</row>
    <row r="546" spans="1:23" ht="13" x14ac:dyDescent="0.1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</row>
    <row r="547" spans="1:23" ht="13" x14ac:dyDescent="0.1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</row>
    <row r="548" spans="1:23" ht="13" x14ac:dyDescent="0.1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</row>
    <row r="549" spans="1:23" ht="13" x14ac:dyDescent="0.1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</row>
    <row r="550" spans="1:23" ht="13" x14ac:dyDescent="0.1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</row>
    <row r="551" spans="1:23" ht="13" x14ac:dyDescent="0.1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</row>
    <row r="552" spans="1:23" ht="13" x14ac:dyDescent="0.1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</row>
    <row r="553" spans="1:23" ht="13" x14ac:dyDescent="0.1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</row>
    <row r="554" spans="1:23" ht="13" x14ac:dyDescent="0.1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</row>
    <row r="555" spans="1:23" ht="13" x14ac:dyDescent="0.1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</row>
    <row r="556" spans="1:23" ht="13" x14ac:dyDescent="0.1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</row>
    <row r="557" spans="1:23" ht="13" x14ac:dyDescent="0.1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</row>
    <row r="558" spans="1:23" ht="13" x14ac:dyDescent="0.1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</row>
    <row r="559" spans="1:23" ht="13" x14ac:dyDescent="0.1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</row>
    <row r="560" spans="1:23" ht="13" x14ac:dyDescent="0.1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</row>
    <row r="561" spans="1:23" ht="13" x14ac:dyDescent="0.1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</row>
    <row r="562" spans="1:23" ht="13" x14ac:dyDescent="0.1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</row>
    <row r="563" spans="1:23" ht="13" x14ac:dyDescent="0.1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</row>
    <row r="564" spans="1:23" ht="13" x14ac:dyDescent="0.1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</row>
    <row r="565" spans="1:23" ht="13" x14ac:dyDescent="0.1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</row>
    <row r="566" spans="1:23" ht="13" x14ac:dyDescent="0.1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</row>
    <row r="567" spans="1:23" ht="13" x14ac:dyDescent="0.1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</row>
    <row r="568" spans="1:23" ht="13" x14ac:dyDescent="0.1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</row>
    <row r="569" spans="1:23" ht="13" x14ac:dyDescent="0.1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</row>
    <row r="570" spans="1:23" ht="13" x14ac:dyDescent="0.1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</row>
    <row r="571" spans="1:23" ht="13" x14ac:dyDescent="0.1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</row>
    <row r="572" spans="1:23" ht="13" x14ac:dyDescent="0.1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</row>
    <row r="573" spans="1:23" ht="13" x14ac:dyDescent="0.1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</row>
    <row r="574" spans="1:23" ht="13" x14ac:dyDescent="0.1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</row>
    <row r="575" spans="1:23" ht="13" x14ac:dyDescent="0.1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</row>
    <row r="576" spans="1:23" ht="13" x14ac:dyDescent="0.1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</row>
    <row r="577" spans="1:23" ht="13" x14ac:dyDescent="0.1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</row>
    <row r="578" spans="1:23" ht="13" x14ac:dyDescent="0.1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</row>
    <row r="579" spans="1:23" ht="13" x14ac:dyDescent="0.1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</row>
    <row r="580" spans="1:23" ht="13" x14ac:dyDescent="0.1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</row>
    <row r="581" spans="1:23" ht="13" x14ac:dyDescent="0.1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</row>
    <row r="582" spans="1:23" ht="13" x14ac:dyDescent="0.1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</row>
    <row r="583" spans="1:23" ht="13" x14ac:dyDescent="0.1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</row>
    <row r="584" spans="1:23" ht="13" x14ac:dyDescent="0.1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</row>
    <row r="585" spans="1:23" ht="13" x14ac:dyDescent="0.1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</row>
    <row r="586" spans="1:23" ht="13" x14ac:dyDescent="0.1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</row>
    <row r="587" spans="1:23" ht="13" x14ac:dyDescent="0.1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</row>
    <row r="588" spans="1:23" ht="13" x14ac:dyDescent="0.1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</row>
    <row r="589" spans="1:23" ht="13" x14ac:dyDescent="0.1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</row>
    <row r="590" spans="1:23" ht="13" x14ac:dyDescent="0.1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</row>
    <row r="591" spans="1:23" ht="13" x14ac:dyDescent="0.1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</row>
    <row r="592" spans="1:23" ht="13" x14ac:dyDescent="0.1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</row>
    <row r="593" spans="1:23" ht="13" x14ac:dyDescent="0.1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</row>
    <row r="594" spans="1:23" ht="13" x14ac:dyDescent="0.1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</row>
    <row r="595" spans="1:23" ht="13" x14ac:dyDescent="0.1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</row>
    <row r="596" spans="1:23" ht="13" x14ac:dyDescent="0.1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</row>
    <row r="597" spans="1:23" ht="13" x14ac:dyDescent="0.1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</row>
    <row r="598" spans="1:23" ht="13" x14ac:dyDescent="0.1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</row>
    <row r="599" spans="1:23" ht="13" x14ac:dyDescent="0.1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</row>
    <row r="600" spans="1:23" ht="13" x14ac:dyDescent="0.1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</row>
    <row r="601" spans="1:23" ht="13" x14ac:dyDescent="0.1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</row>
    <row r="602" spans="1:23" ht="13" x14ac:dyDescent="0.1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</row>
    <row r="603" spans="1:23" ht="13" x14ac:dyDescent="0.1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</row>
    <row r="604" spans="1:23" ht="13" x14ac:dyDescent="0.1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</row>
    <row r="605" spans="1:23" ht="13" x14ac:dyDescent="0.1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</row>
    <row r="606" spans="1:23" ht="13" x14ac:dyDescent="0.1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</row>
    <row r="607" spans="1:23" ht="13" x14ac:dyDescent="0.1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</row>
    <row r="608" spans="1:23" ht="13" x14ac:dyDescent="0.1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</row>
    <row r="609" spans="1:23" ht="13" x14ac:dyDescent="0.1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</row>
    <row r="610" spans="1:23" ht="13" x14ac:dyDescent="0.1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</row>
    <row r="611" spans="1:23" ht="13" x14ac:dyDescent="0.1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</row>
    <row r="612" spans="1:23" ht="13" x14ac:dyDescent="0.1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</row>
    <row r="613" spans="1:23" ht="13" x14ac:dyDescent="0.1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</row>
    <row r="614" spans="1:23" ht="13" x14ac:dyDescent="0.1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</row>
    <row r="615" spans="1:23" ht="13" x14ac:dyDescent="0.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</row>
    <row r="616" spans="1:23" ht="13" x14ac:dyDescent="0.1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</row>
    <row r="617" spans="1:23" ht="13" x14ac:dyDescent="0.1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</row>
    <row r="618" spans="1:23" ht="13" x14ac:dyDescent="0.1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</row>
    <row r="619" spans="1:23" ht="13" x14ac:dyDescent="0.1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</row>
    <row r="620" spans="1:23" ht="13" x14ac:dyDescent="0.1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</row>
    <row r="621" spans="1:23" ht="13" x14ac:dyDescent="0.1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</row>
    <row r="622" spans="1:23" ht="13" x14ac:dyDescent="0.1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</row>
    <row r="623" spans="1:23" ht="13" x14ac:dyDescent="0.1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</row>
    <row r="624" spans="1:23" ht="13" x14ac:dyDescent="0.1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</row>
    <row r="625" spans="1:23" ht="13" x14ac:dyDescent="0.1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</row>
    <row r="626" spans="1:23" ht="13" x14ac:dyDescent="0.1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</row>
    <row r="627" spans="1:23" ht="13" x14ac:dyDescent="0.1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</row>
    <row r="628" spans="1:23" ht="13" x14ac:dyDescent="0.1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</row>
    <row r="629" spans="1:23" ht="13" x14ac:dyDescent="0.1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</row>
    <row r="630" spans="1:23" ht="13" x14ac:dyDescent="0.1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</row>
    <row r="631" spans="1:23" ht="13" x14ac:dyDescent="0.1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</row>
    <row r="632" spans="1:23" ht="13" x14ac:dyDescent="0.1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</row>
    <row r="633" spans="1:23" ht="13" x14ac:dyDescent="0.1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</row>
    <row r="634" spans="1:23" ht="13" x14ac:dyDescent="0.1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</row>
    <row r="635" spans="1:23" ht="13" x14ac:dyDescent="0.1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</row>
    <row r="636" spans="1:23" ht="13" x14ac:dyDescent="0.1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</row>
    <row r="637" spans="1:23" ht="13" x14ac:dyDescent="0.1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</row>
    <row r="638" spans="1:23" ht="13" x14ac:dyDescent="0.1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</row>
    <row r="639" spans="1:23" ht="13" x14ac:dyDescent="0.1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</row>
    <row r="640" spans="1:23" ht="13" x14ac:dyDescent="0.1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</row>
    <row r="641" spans="1:23" ht="13" x14ac:dyDescent="0.1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</row>
    <row r="642" spans="1:23" ht="13" x14ac:dyDescent="0.1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</row>
    <row r="643" spans="1:23" ht="13" x14ac:dyDescent="0.1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</row>
    <row r="644" spans="1:23" ht="13" x14ac:dyDescent="0.1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</row>
    <row r="645" spans="1:23" ht="13" x14ac:dyDescent="0.1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</row>
    <row r="646" spans="1:23" ht="13" x14ac:dyDescent="0.1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</row>
    <row r="647" spans="1:23" ht="13" x14ac:dyDescent="0.1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</row>
    <row r="648" spans="1:23" ht="13" x14ac:dyDescent="0.1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</row>
    <row r="649" spans="1:23" ht="13" x14ac:dyDescent="0.1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</row>
    <row r="650" spans="1:23" ht="13" x14ac:dyDescent="0.1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</row>
    <row r="651" spans="1:23" ht="13" x14ac:dyDescent="0.1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</row>
    <row r="652" spans="1:23" ht="13" x14ac:dyDescent="0.1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</row>
    <row r="653" spans="1:23" ht="13" x14ac:dyDescent="0.1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</row>
    <row r="654" spans="1:23" ht="13" x14ac:dyDescent="0.1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</row>
    <row r="655" spans="1:23" ht="13" x14ac:dyDescent="0.1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</row>
    <row r="656" spans="1:23" ht="13" x14ac:dyDescent="0.1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</row>
    <row r="657" spans="1:23" ht="13" x14ac:dyDescent="0.1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</row>
    <row r="658" spans="1:23" ht="13" x14ac:dyDescent="0.1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</row>
    <row r="659" spans="1:23" ht="13" x14ac:dyDescent="0.1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</row>
    <row r="660" spans="1:23" ht="13" x14ac:dyDescent="0.1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</row>
    <row r="661" spans="1:23" ht="13" x14ac:dyDescent="0.1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</row>
    <row r="662" spans="1:23" ht="13" x14ac:dyDescent="0.1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</row>
    <row r="663" spans="1:23" ht="13" x14ac:dyDescent="0.1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</row>
    <row r="664" spans="1:23" ht="13" x14ac:dyDescent="0.1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</row>
    <row r="665" spans="1:23" ht="13" x14ac:dyDescent="0.1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</row>
    <row r="666" spans="1:23" ht="13" x14ac:dyDescent="0.1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</row>
    <row r="667" spans="1:23" ht="13" x14ac:dyDescent="0.1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</row>
    <row r="668" spans="1:23" ht="13" x14ac:dyDescent="0.1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</row>
    <row r="669" spans="1:23" ht="13" x14ac:dyDescent="0.1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</row>
    <row r="670" spans="1:23" ht="13" x14ac:dyDescent="0.1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</row>
    <row r="671" spans="1:23" ht="13" x14ac:dyDescent="0.1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</row>
    <row r="672" spans="1:23" ht="13" x14ac:dyDescent="0.1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</row>
    <row r="673" spans="1:23" ht="13" x14ac:dyDescent="0.1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</row>
    <row r="674" spans="1:23" ht="13" x14ac:dyDescent="0.1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</row>
    <row r="675" spans="1:23" ht="13" x14ac:dyDescent="0.1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</row>
    <row r="676" spans="1:23" ht="13" x14ac:dyDescent="0.1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</row>
    <row r="677" spans="1:23" ht="13" x14ac:dyDescent="0.1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</row>
    <row r="678" spans="1:23" ht="13" x14ac:dyDescent="0.1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</row>
    <row r="679" spans="1:23" ht="13" x14ac:dyDescent="0.1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</row>
    <row r="680" spans="1:23" ht="13" x14ac:dyDescent="0.1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</row>
    <row r="681" spans="1:23" ht="13" x14ac:dyDescent="0.1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</row>
    <row r="682" spans="1:23" ht="13" x14ac:dyDescent="0.1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</row>
    <row r="683" spans="1:23" ht="13" x14ac:dyDescent="0.1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</row>
    <row r="684" spans="1:23" ht="13" x14ac:dyDescent="0.1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</row>
    <row r="685" spans="1:23" ht="13" x14ac:dyDescent="0.1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</row>
    <row r="686" spans="1:23" ht="13" x14ac:dyDescent="0.1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</row>
    <row r="687" spans="1:23" ht="13" x14ac:dyDescent="0.1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</row>
    <row r="688" spans="1:23" ht="13" x14ac:dyDescent="0.1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</row>
    <row r="689" spans="1:23" ht="13" x14ac:dyDescent="0.1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</row>
    <row r="690" spans="1:23" ht="13" x14ac:dyDescent="0.1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</row>
    <row r="691" spans="1:23" ht="13" x14ac:dyDescent="0.1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</row>
    <row r="692" spans="1:23" ht="13" x14ac:dyDescent="0.1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</row>
    <row r="693" spans="1:23" ht="13" x14ac:dyDescent="0.1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</row>
    <row r="694" spans="1:23" ht="13" x14ac:dyDescent="0.1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</row>
    <row r="695" spans="1:23" ht="13" x14ac:dyDescent="0.1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</row>
    <row r="696" spans="1:23" ht="13" x14ac:dyDescent="0.1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</row>
    <row r="697" spans="1:23" ht="13" x14ac:dyDescent="0.1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</row>
    <row r="698" spans="1:23" ht="13" x14ac:dyDescent="0.1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</row>
    <row r="699" spans="1:23" ht="13" x14ac:dyDescent="0.1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</row>
    <row r="700" spans="1:23" ht="13" x14ac:dyDescent="0.1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</row>
    <row r="701" spans="1:23" ht="13" x14ac:dyDescent="0.1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</row>
    <row r="702" spans="1:23" ht="13" x14ac:dyDescent="0.1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</row>
    <row r="703" spans="1:23" ht="13" x14ac:dyDescent="0.1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</row>
    <row r="704" spans="1:23" ht="13" x14ac:dyDescent="0.1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</row>
    <row r="705" spans="1:23" ht="13" x14ac:dyDescent="0.1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</row>
    <row r="706" spans="1:23" ht="13" x14ac:dyDescent="0.1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</row>
    <row r="707" spans="1:23" ht="13" x14ac:dyDescent="0.1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</row>
    <row r="708" spans="1:23" ht="13" x14ac:dyDescent="0.1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</row>
    <row r="709" spans="1:23" ht="13" x14ac:dyDescent="0.1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</row>
    <row r="710" spans="1:23" ht="13" x14ac:dyDescent="0.1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</row>
    <row r="711" spans="1:23" ht="13" x14ac:dyDescent="0.1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</row>
    <row r="712" spans="1:23" ht="13" x14ac:dyDescent="0.1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</row>
    <row r="713" spans="1:23" ht="13" x14ac:dyDescent="0.1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</row>
    <row r="714" spans="1:23" ht="13" x14ac:dyDescent="0.1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</row>
    <row r="715" spans="1:23" ht="13" x14ac:dyDescent="0.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</row>
    <row r="716" spans="1:23" ht="13" x14ac:dyDescent="0.1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</row>
    <row r="717" spans="1:23" ht="13" x14ac:dyDescent="0.1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</row>
    <row r="718" spans="1:23" ht="13" x14ac:dyDescent="0.1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</row>
    <row r="719" spans="1:23" ht="13" x14ac:dyDescent="0.1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</row>
    <row r="720" spans="1:23" ht="13" x14ac:dyDescent="0.1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</row>
    <row r="721" spans="1:23" ht="13" x14ac:dyDescent="0.1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</row>
    <row r="722" spans="1:23" ht="13" x14ac:dyDescent="0.1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</row>
    <row r="723" spans="1:23" ht="13" x14ac:dyDescent="0.1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</row>
    <row r="724" spans="1:23" ht="13" x14ac:dyDescent="0.1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</row>
    <row r="725" spans="1:23" ht="13" x14ac:dyDescent="0.1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</row>
    <row r="726" spans="1:23" ht="13" x14ac:dyDescent="0.1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</row>
    <row r="727" spans="1:23" ht="13" x14ac:dyDescent="0.1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</row>
    <row r="728" spans="1:23" ht="13" x14ac:dyDescent="0.1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</row>
    <row r="729" spans="1:23" ht="13" x14ac:dyDescent="0.1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</row>
    <row r="730" spans="1:23" ht="13" x14ac:dyDescent="0.1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</row>
    <row r="731" spans="1:23" ht="13" x14ac:dyDescent="0.1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</row>
    <row r="732" spans="1:23" ht="13" x14ac:dyDescent="0.1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</row>
    <row r="733" spans="1:23" ht="13" x14ac:dyDescent="0.1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</row>
    <row r="734" spans="1:23" ht="13" x14ac:dyDescent="0.1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</row>
    <row r="735" spans="1:23" ht="13" x14ac:dyDescent="0.1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</row>
    <row r="736" spans="1:23" ht="13" x14ac:dyDescent="0.1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</row>
    <row r="737" spans="1:23" ht="13" x14ac:dyDescent="0.1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</row>
    <row r="738" spans="1:23" ht="13" x14ac:dyDescent="0.1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</row>
    <row r="739" spans="1:23" ht="13" x14ac:dyDescent="0.1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</row>
    <row r="740" spans="1:23" ht="13" x14ac:dyDescent="0.1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</row>
    <row r="741" spans="1:23" ht="13" x14ac:dyDescent="0.1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</row>
    <row r="742" spans="1:23" ht="13" x14ac:dyDescent="0.1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</row>
    <row r="743" spans="1:23" ht="13" x14ac:dyDescent="0.1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</row>
    <row r="744" spans="1:23" ht="13" x14ac:dyDescent="0.1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</row>
    <row r="745" spans="1:23" ht="13" x14ac:dyDescent="0.1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</row>
    <row r="746" spans="1:23" ht="13" x14ac:dyDescent="0.1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</row>
    <row r="747" spans="1:23" ht="13" x14ac:dyDescent="0.1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</row>
    <row r="748" spans="1:23" ht="13" x14ac:dyDescent="0.1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</row>
    <row r="749" spans="1:23" ht="13" x14ac:dyDescent="0.1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</row>
    <row r="750" spans="1:23" ht="13" x14ac:dyDescent="0.1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</row>
    <row r="751" spans="1:23" ht="13" x14ac:dyDescent="0.1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</row>
    <row r="752" spans="1:23" ht="13" x14ac:dyDescent="0.1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</row>
    <row r="753" spans="1:23" ht="13" x14ac:dyDescent="0.1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</row>
    <row r="754" spans="1:23" ht="13" x14ac:dyDescent="0.1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</row>
    <row r="755" spans="1:23" ht="13" x14ac:dyDescent="0.1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</row>
    <row r="756" spans="1:23" ht="13" x14ac:dyDescent="0.1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</row>
    <row r="757" spans="1:23" ht="13" x14ac:dyDescent="0.1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</row>
    <row r="758" spans="1:23" ht="13" x14ac:dyDescent="0.1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</row>
    <row r="759" spans="1:23" ht="13" x14ac:dyDescent="0.1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</row>
    <row r="760" spans="1:23" ht="13" x14ac:dyDescent="0.1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</row>
    <row r="761" spans="1:23" ht="13" x14ac:dyDescent="0.1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</row>
    <row r="762" spans="1:23" ht="13" x14ac:dyDescent="0.1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</row>
    <row r="763" spans="1:23" ht="13" x14ac:dyDescent="0.1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</row>
    <row r="764" spans="1:23" ht="13" x14ac:dyDescent="0.1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</row>
    <row r="765" spans="1:23" ht="13" x14ac:dyDescent="0.1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</row>
    <row r="766" spans="1:23" ht="13" x14ac:dyDescent="0.1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</row>
    <row r="767" spans="1:23" ht="13" x14ac:dyDescent="0.1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</row>
    <row r="768" spans="1:23" ht="13" x14ac:dyDescent="0.1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</row>
    <row r="769" spans="1:23" ht="13" x14ac:dyDescent="0.1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</row>
    <row r="770" spans="1:23" ht="13" x14ac:dyDescent="0.1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</row>
    <row r="771" spans="1:23" ht="13" x14ac:dyDescent="0.1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</row>
    <row r="772" spans="1:23" ht="13" x14ac:dyDescent="0.1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</row>
    <row r="773" spans="1:23" ht="13" x14ac:dyDescent="0.1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</row>
    <row r="774" spans="1:23" ht="13" x14ac:dyDescent="0.1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</row>
    <row r="775" spans="1:23" ht="13" x14ac:dyDescent="0.1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</row>
    <row r="776" spans="1:23" ht="13" x14ac:dyDescent="0.1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</row>
    <row r="777" spans="1:23" ht="13" x14ac:dyDescent="0.1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</row>
    <row r="778" spans="1:23" ht="13" x14ac:dyDescent="0.1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</row>
    <row r="779" spans="1:23" ht="13" x14ac:dyDescent="0.1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</row>
    <row r="780" spans="1:23" ht="13" x14ac:dyDescent="0.1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</row>
    <row r="781" spans="1:23" ht="13" x14ac:dyDescent="0.1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</row>
    <row r="782" spans="1:23" ht="13" x14ac:dyDescent="0.1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</row>
    <row r="783" spans="1:23" ht="13" x14ac:dyDescent="0.1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</row>
    <row r="784" spans="1:23" ht="13" x14ac:dyDescent="0.1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</row>
    <row r="785" spans="1:23" ht="13" x14ac:dyDescent="0.1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</row>
    <row r="786" spans="1:23" ht="13" x14ac:dyDescent="0.1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</row>
    <row r="787" spans="1:23" ht="13" x14ac:dyDescent="0.1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</row>
    <row r="788" spans="1:23" ht="13" x14ac:dyDescent="0.1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</row>
    <row r="789" spans="1:23" ht="13" x14ac:dyDescent="0.1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</row>
    <row r="790" spans="1:23" ht="13" x14ac:dyDescent="0.1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</row>
    <row r="791" spans="1:23" ht="13" x14ac:dyDescent="0.1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</row>
    <row r="792" spans="1:23" ht="13" x14ac:dyDescent="0.1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</row>
    <row r="793" spans="1:23" ht="13" x14ac:dyDescent="0.1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</row>
    <row r="794" spans="1:23" ht="13" x14ac:dyDescent="0.1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</row>
    <row r="795" spans="1:23" ht="13" x14ac:dyDescent="0.1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</row>
    <row r="796" spans="1:23" ht="13" x14ac:dyDescent="0.1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</row>
    <row r="797" spans="1:23" ht="13" x14ac:dyDescent="0.1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</row>
    <row r="798" spans="1:23" ht="13" x14ac:dyDescent="0.1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</row>
    <row r="799" spans="1:23" ht="13" x14ac:dyDescent="0.1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</row>
    <row r="800" spans="1:23" ht="13" x14ac:dyDescent="0.1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</row>
    <row r="801" spans="1:23" ht="13" x14ac:dyDescent="0.1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</row>
    <row r="802" spans="1:23" ht="13" x14ac:dyDescent="0.1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</row>
    <row r="803" spans="1:23" ht="13" x14ac:dyDescent="0.1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</row>
    <row r="804" spans="1:23" ht="13" x14ac:dyDescent="0.1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</row>
    <row r="805" spans="1:23" ht="13" x14ac:dyDescent="0.1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</row>
    <row r="806" spans="1:23" ht="13" x14ac:dyDescent="0.1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</row>
    <row r="807" spans="1:23" ht="13" x14ac:dyDescent="0.1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</row>
    <row r="808" spans="1:23" ht="13" x14ac:dyDescent="0.1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</row>
    <row r="809" spans="1:23" ht="13" x14ac:dyDescent="0.1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</row>
    <row r="810" spans="1:23" ht="13" x14ac:dyDescent="0.1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</row>
    <row r="811" spans="1:23" ht="13" x14ac:dyDescent="0.1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</row>
    <row r="812" spans="1:23" ht="13" x14ac:dyDescent="0.1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</row>
    <row r="813" spans="1:23" ht="13" x14ac:dyDescent="0.1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</row>
    <row r="814" spans="1:23" ht="13" x14ac:dyDescent="0.1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</row>
    <row r="815" spans="1:23" ht="13" x14ac:dyDescent="0.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</row>
    <row r="816" spans="1:23" ht="13" x14ac:dyDescent="0.1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</row>
    <row r="817" spans="1:23" ht="13" x14ac:dyDescent="0.1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</row>
    <row r="818" spans="1:23" ht="13" x14ac:dyDescent="0.1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</row>
    <row r="819" spans="1:23" ht="13" x14ac:dyDescent="0.1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</row>
    <row r="820" spans="1:23" ht="13" x14ac:dyDescent="0.1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</row>
    <row r="821" spans="1:23" ht="13" x14ac:dyDescent="0.1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</row>
    <row r="822" spans="1:23" ht="13" x14ac:dyDescent="0.1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</row>
    <row r="823" spans="1:23" ht="13" x14ac:dyDescent="0.1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</row>
    <row r="824" spans="1:23" ht="13" x14ac:dyDescent="0.1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</row>
    <row r="825" spans="1:23" ht="13" x14ac:dyDescent="0.1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</row>
    <row r="826" spans="1:23" ht="13" x14ac:dyDescent="0.1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</row>
    <row r="827" spans="1:23" ht="13" x14ac:dyDescent="0.1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</row>
    <row r="828" spans="1:23" ht="13" x14ac:dyDescent="0.1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</row>
    <row r="829" spans="1:23" ht="13" x14ac:dyDescent="0.1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</row>
    <row r="830" spans="1:23" ht="13" x14ac:dyDescent="0.1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</row>
    <row r="831" spans="1:23" ht="13" x14ac:dyDescent="0.1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</row>
    <row r="832" spans="1:23" ht="13" x14ac:dyDescent="0.1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</row>
    <row r="833" spans="1:23" ht="13" x14ac:dyDescent="0.1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</row>
    <row r="834" spans="1:23" ht="13" x14ac:dyDescent="0.1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</row>
    <row r="835" spans="1:23" ht="13" x14ac:dyDescent="0.1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</row>
    <row r="836" spans="1:23" ht="13" x14ac:dyDescent="0.1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</row>
    <row r="837" spans="1:23" ht="13" x14ac:dyDescent="0.1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</row>
    <row r="838" spans="1:23" ht="13" x14ac:dyDescent="0.1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</row>
    <row r="839" spans="1:23" ht="13" x14ac:dyDescent="0.1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</row>
    <row r="840" spans="1:23" ht="13" x14ac:dyDescent="0.1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</row>
    <row r="841" spans="1:23" ht="13" x14ac:dyDescent="0.1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</row>
    <row r="842" spans="1:23" ht="13" x14ac:dyDescent="0.1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</row>
    <row r="843" spans="1:23" ht="13" x14ac:dyDescent="0.1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</row>
    <row r="844" spans="1:23" ht="13" x14ac:dyDescent="0.1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</row>
    <row r="845" spans="1:23" ht="13" x14ac:dyDescent="0.1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</row>
    <row r="846" spans="1:23" ht="13" x14ac:dyDescent="0.1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</row>
    <row r="847" spans="1:23" ht="13" x14ac:dyDescent="0.1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</row>
    <row r="848" spans="1:23" ht="13" x14ac:dyDescent="0.1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</row>
    <row r="849" spans="1:23" ht="13" x14ac:dyDescent="0.1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</row>
    <row r="850" spans="1:23" ht="13" x14ac:dyDescent="0.1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</row>
    <row r="851" spans="1:23" ht="13" x14ac:dyDescent="0.1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</row>
    <row r="852" spans="1:23" ht="13" x14ac:dyDescent="0.1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</row>
    <row r="853" spans="1:23" ht="13" x14ac:dyDescent="0.1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</row>
    <row r="854" spans="1:23" ht="13" x14ac:dyDescent="0.1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</row>
    <row r="855" spans="1:23" ht="13" x14ac:dyDescent="0.1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</row>
    <row r="856" spans="1:23" ht="13" x14ac:dyDescent="0.1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</row>
    <row r="857" spans="1:23" ht="13" x14ac:dyDescent="0.1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</row>
    <row r="858" spans="1:23" ht="13" x14ac:dyDescent="0.1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</row>
    <row r="859" spans="1:23" ht="13" x14ac:dyDescent="0.1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</row>
    <row r="860" spans="1:23" ht="13" x14ac:dyDescent="0.1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</row>
    <row r="861" spans="1:23" ht="13" x14ac:dyDescent="0.1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</row>
    <row r="862" spans="1:23" ht="13" x14ac:dyDescent="0.1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</row>
    <row r="863" spans="1:23" ht="13" x14ac:dyDescent="0.1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</row>
    <row r="864" spans="1:23" ht="13" x14ac:dyDescent="0.1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</row>
    <row r="865" spans="1:23" ht="13" x14ac:dyDescent="0.1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</row>
    <row r="866" spans="1:23" ht="13" x14ac:dyDescent="0.1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</row>
    <row r="867" spans="1:23" ht="13" x14ac:dyDescent="0.1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</row>
    <row r="868" spans="1:23" ht="13" x14ac:dyDescent="0.1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</row>
    <row r="869" spans="1:23" ht="13" x14ac:dyDescent="0.1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</row>
    <row r="870" spans="1:23" ht="13" x14ac:dyDescent="0.1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</row>
    <row r="871" spans="1:23" ht="13" x14ac:dyDescent="0.1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</row>
    <row r="872" spans="1:23" ht="13" x14ac:dyDescent="0.1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</row>
    <row r="873" spans="1:23" ht="13" x14ac:dyDescent="0.1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</row>
    <row r="874" spans="1:23" ht="13" x14ac:dyDescent="0.1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</row>
    <row r="875" spans="1:23" ht="13" x14ac:dyDescent="0.1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</row>
    <row r="876" spans="1:23" ht="13" x14ac:dyDescent="0.1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</row>
    <row r="877" spans="1:23" ht="13" x14ac:dyDescent="0.1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</row>
    <row r="878" spans="1:23" ht="13" x14ac:dyDescent="0.1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</row>
    <row r="879" spans="1:23" ht="13" x14ac:dyDescent="0.1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</row>
    <row r="880" spans="1:23" ht="13" x14ac:dyDescent="0.1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</row>
    <row r="881" spans="1:23" ht="13" x14ac:dyDescent="0.1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</row>
    <row r="882" spans="1:23" ht="13" x14ac:dyDescent="0.1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</row>
    <row r="883" spans="1:23" ht="13" x14ac:dyDescent="0.1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</row>
    <row r="884" spans="1:23" ht="13" x14ac:dyDescent="0.1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</row>
    <row r="885" spans="1:23" ht="13" x14ac:dyDescent="0.1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</row>
    <row r="886" spans="1:23" ht="13" x14ac:dyDescent="0.1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</row>
    <row r="887" spans="1:23" ht="13" x14ac:dyDescent="0.1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</row>
    <row r="888" spans="1:23" ht="13" x14ac:dyDescent="0.1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</row>
    <row r="889" spans="1:23" ht="13" x14ac:dyDescent="0.1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</row>
    <row r="890" spans="1:23" ht="13" x14ac:dyDescent="0.1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</row>
    <row r="891" spans="1:23" ht="13" x14ac:dyDescent="0.1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</row>
    <row r="892" spans="1:23" ht="13" x14ac:dyDescent="0.1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</row>
    <row r="893" spans="1:23" ht="13" x14ac:dyDescent="0.1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</row>
    <row r="894" spans="1:23" ht="13" x14ac:dyDescent="0.1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</row>
    <row r="895" spans="1:23" ht="13" x14ac:dyDescent="0.1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</row>
    <row r="896" spans="1:23" ht="13" x14ac:dyDescent="0.1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</row>
    <row r="897" spans="1:23" ht="13" x14ac:dyDescent="0.1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</row>
    <row r="898" spans="1:23" ht="13" x14ac:dyDescent="0.1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</row>
    <row r="899" spans="1:23" ht="13" x14ac:dyDescent="0.1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</row>
    <row r="900" spans="1:23" ht="13" x14ac:dyDescent="0.1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</row>
    <row r="901" spans="1:23" ht="13" x14ac:dyDescent="0.1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</row>
    <row r="902" spans="1:23" ht="13" x14ac:dyDescent="0.1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</row>
    <row r="903" spans="1:23" ht="13" x14ac:dyDescent="0.1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</row>
    <row r="904" spans="1:23" ht="13" x14ac:dyDescent="0.1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</row>
    <row r="905" spans="1:23" ht="13" x14ac:dyDescent="0.1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</row>
    <row r="906" spans="1:23" ht="13" x14ac:dyDescent="0.1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</row>
    <row r="907" spans="1:23" ht="13" x14ac:dyDescent="0.1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</row>
    <row r="908" spans="1:23" ht="13" x14ac:dyDescent="0.1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</row>
    <row r="909" spans="1:23" ht="13" x14ac:dyDescent="0.1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</row>
    <row r="910" spans="1:23" ht="13" x14ac:dyDescent="0.1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</row>
    <row r="911" spans="1:23" ht="13" x14ac:dyDescent="0.1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</row>
    <row r="912" spans="1:23" ht="13" x14ac:dyDescent="0.1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</row>
    <row r="913" spans="1:23" ht="13" x14ac:dyDescent="0.1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</row>
    <row r="914" spans="1:23" ht="13" x14ac:dyDescent="0.1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</row>
    <row r="915" spans="1:23" ht="13" x14ac:dyDescent="0.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</row>
    <row r="916" spans="1:23" ht="13" x14ac:dyDescent="0.1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</row>
    <row r="917" spans="1:23" ht="13" x14ac:dyDescent="0.1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</row>
    <row r="918" spans="1:23" ht="13" x14ac:dyDescent="0.1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</row>
    <row r="919" spans="1:23" ht="13" x14ac:dyDescent="0.1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</row>
    <row r="920" spans="1:23" ht="13" x14ac:dyDescent="0.1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</row>
    <row r="921" spans="1:23" ht="13" x14ac:dyDescent="0.1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</row>
    <row r="922" spans="1:23" ht="13" x14ac:dyDescent="0.1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</row>
    <row r="923" spans="1:23" ht="13" x14ac:dyDescent="0.1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</row>
    <row r="924" spans="1:23" ht="13" x14ac:dyDescent="0.1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</row>
    <row r="925" spans="1:23" ht="13" x14ac:dyDescent="0.1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</row>
    <row r="926" spans="1:23" ht="13" x14ac:dyDescent="0.1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</row>
    <row r="927" spans="1:23" ht="13" x14ac:dyDescent="0.1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</row>
    <row r="928" spans="1:23" ht="13" x14ac:dyDescent="0.1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</row>
    <row r="929" spans="1:23" ht="13" x14ac:dyDescent="0.1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</row>
    <row r="930" spans="1:23" ht="13" x14ac:dyDescent="0.1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</row>
    <row r="931" spans="1:23" ht="13" x14ac:dyDescent="0.1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</row>
    <row r="932" spans="1:23" ht="13" x14ac:dyDescent="0.1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</row>
    <row r="933" spans="1:23" ht="13" x14ac:dyDescent="0.1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</row>
    <row r="934" spans="1:23" ht="13" x14ac:dyDescent="0.1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</row>
    <row r="935" spans="1:23" ht="13" x14ac:dyDescent="0.1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</row>
    <row r="936" spans="1:23" ht="13" x14ac:dyDescent="0.1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</row>
    <row r="937" spans="1:23" ht="13" x14ac:dyDescent="0.1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</row>
    <row r="938" spans="1:23" ht="13" x14ac:dyDescent="0.1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</row>
    <row r="939" spans="1:23" ht="13" x14ac:dyDescent="0.1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</row>
    <row r="940" spans="1:23" ht="13" x14ac:dyDescent="0.1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</row>
    <row r="941" spans="1:23" ht="13" x14ac:dyDescent="0.1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</row>
    <row r="942" spans="1:23" ht="13" x14ac:dyDescent="0.1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</row>
    <row r="943" spans="1:23" ht="13" x14ac:dyDescent="0.1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</row>
    <row r="944" spans="1:23" ht="13" x14ac:dyDescent="0.1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</row>
    <row r="945" spans="1:23" ht="13" x14ac:dyDescent="0.1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</row>
    <row r="946" spans="1:23" ht="13" x14ac:dyDescent="0.1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</row>
    <row r="947" spans="1:23" ht="13" x14ac:dyDescent="0.1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</row>
    <row r="948" spans="1:23" ht="13" x14ac:dyDescent="0.1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</row>
    <row r="949" spans="1:23" ht="13" x14ac:dyDescent="0.1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</row>
    <row r="950" spans="1:23" ht="13" x14ac:dyDescent="0.1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</row>
    <row r="951" spans="1:23" ht="13" x14ac:dyDescent="0.1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</row>
    <row r="952" spans="1:23" ht="13" x14ac:dyDescent="0.1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</row>
    <row r="953" spans="1:23" ht="13" x14ac:dyDescent="0.1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</row>
    <row r="954" spans="1:23" ht="13" x14ac:dyDescent="0.1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</row>
    <row r="955" spans="1:23" ht="13" x14ac:dyDescent="0.1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</row>
    <row r="956" spans="1:23" ht="13" x14ac:dyDescent="0.1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</row>
    <row r="957" spans="1:23" ht="13" x14ac:dyDescent="0.1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</row>
    <row r="958" spans="1:23" ht="13" x14ac:dyDescent="0.1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</row>
    <row r="959" spans="1:23" ht="13" x14ac:dyDescent="0.1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</row>
    <row r="960" spans="1:23" ht="13" x14ac:dyDescent="0.1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</row>
    <row r="961" spans="1:23" ht="13" x14ac:dyDescent="0.1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</row>
    <row r="962" spans="1:23" ht="13" x14ac:dyDescent="0.1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</row>
    <row r="963" spans="1:23" ht="13" x14ac:dyDescent="0.1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</row>
    <row r="964" spans="1:23" ht="13" x14ac:dyDescent="0.1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</row>
    <row r="965" spans="1:23" ht="13" x14ac:dyDescent="0.1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</row>
    <row r="966" spans="1:23" ht="13" x14ac:dyDescent="0.1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</row>
    <row r="967" spans="1:23" ht="13" x14ac:dyDescent="0.1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</row>
    <row r="968" spans="1:23" ht="13" x14ac:dyDescent="0.1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</row>
    <row r="969" spans="1:23" ht="13" x14ac:dyDescent="0.1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</row>
    <row r="970" spans="1:23" ht="13" x14ac:dyDescent="0.1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</row>
    <row r="971" spans="1:23" ht="13" x14ac:dyDescent="0.1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</row>
    <row r="972" spans="1:23" ht="13" x14ac:dyDescent="0.1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</row>
    <row r="973" spans="1:23" ht="13" x14ac:dyDescent="0.1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</row>
    <row r="974" spans="1:23" ht="13" x14ac:dyDescent="0.1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</row>
    <row r="975" spans="1:23" ht="13" x14ac:dyDescent="0.1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</row>
    <row r="976" spans="1:23" ht="13" x14ac:dyDescent="0.1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</row>
    <row r="977" spans="1:23" ht="13" x14ac:dyDescent="0.1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</row>
    <row r="978" spans="1:23" ht="13" x14ac:dyDescent="0.1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</row>
    <row r="979" spans="1:23" ht="13" x14ac:dyDescent="0.1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</row>
    <row r="980" spans="1:23" ht="13" x14ac:dyDescent="0.1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</row>
    <row r="981" spans="1:23" ht="13" x14ac:dyDescent="0.1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</row>
    <row r="982" spans="1:23" ht="13" x14ac:dyDescent="0.1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</row>
    <row r="983" spans="1:23" ht="13" x14ac:dyDescent="0.1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</row>
    <row r="984" spans="1:23" ht="13" x14ac:dyDescent="0.1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</row>
    <row r="985" spans="1:23" ht="13" x14ac:dyDescent="0.1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</row>
    <row r="986" spans="1:23" ht="13" x14ac:dyDescent="0.1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</row>
    <row r="987" spans="1:23" ht="13" x14ac:dyDescent="0.1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</row>
    <row r="988" spans="1:23" ht="13" x14ac:dyDescent="0.1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</row>
    <row r="989" spans="1:23" ht="13" x14ac:dyDescent="0.1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</row>
    <row r="990" spans="1:23" ht="13" x14ac:dyDescent="0.1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</row>
    <row r="991" spans="1:23" ht="13" x14ac:dyDescent="0.1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</row>
    <row r="992" spans="1:23" ht="13" x14ac:dyDescent="0.1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</row>
    <row r="993" spans="1:23" ht="13" x14ac:dyDescent="0.1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</row>
    <row r="994" spans="1:23" ht="13" x14ac:dyDescent="0.1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</row>
    <row r="995" spans="1:23" ht="13" x14ac:dyDescent="0.1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</row>
    <row r="996" spans="1:23" ht="13" x14ac:dyDescent="0.1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</row>
    <row r="997" spans="1:23" ht="13" x14ac:dyDescent="0.1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</row>
    <row r="998" spans="1:23" ht="13" x14ac:dyDescent="0.1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</row>
    <row r="999" spans="1:23" ht="13" x14ac:dyDescent="0.1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</row>
    <row r="1000" spans="1:23" ht="13" x14ac:dyDescent="0.1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</row>
    <row r="1001" spans="1:23" ht="13" x14ac:dyDescent="0.15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</row>
    <row r="1002" spans="1:23" ht="13" x14ac:dyDescent="0.15">
      <c r="A1002" s="85"/>
      <c r="B1002" s="85"/>
      <c r="C1002" s="85"/>
      <c r="D1002" s="85"/>
      <c r="E1002" s="85"/>
      <c r="F1002" s="85"/>
      <c r="G1002" s="85"/>
      <c r="H1002" s="85"/>
      <c r="I1002" s="85"/>
      <c r="J1002" s="85"/>
      <c r="K1002" s="85"/>
      <c r="L1002" s="85"/>
      <c r="M1002" s="85"/>
      <c r="N1002" s="85"/>
      <c r="O1002" s="85"/>
      <c r="P1002" s="85"/>
      <c r="Q1002" s="85"/>
      <c r="R1002" s="85"/>
      <c r="S1002" s="85"/>
      <c r="T1002" s="85"/>
      <c r="U1002" s="85"/>
      <c r="V1002" s="85"/>
      <c r="W1002" s="8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Club Overview</vt:lpstr>
      <vt:lpstr>Club Tracker</vt:lpstr>
      <vt:lpstr>BEL-1 </vt:lpstr>
      <vt:lpstr>Club Requests</vt:lpstr>
      <vt:lpstr>Live Demand Signal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Miller-Charlton</cp:lastModifiedBy>
  <dcterms:created xsi:type="dcterms:W3CDTF">2026-05-13T06:17:26Z</dcterms:created>
  <dcterms:modified xsi:type="dcterms:W3CDTF">2026-05-13T06:17:26Z</dcterms:modified>
</cp:coreProperties>
</file>